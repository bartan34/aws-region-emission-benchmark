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  <sheet name="results" sheetId="2" state="visible" r:id="rId2"/>
    <sheet name="summary" sheetId="3" state="visible" r:id="rId3"/>
    <sheet name="Table 3" sheetId="4" state="visible" r:id="rId4"/>
    <sheet name="Fig 2" sheetId="5" state="visible" r:id="rId5"/>
    <sheet name="Fig 2 chart" sheetId="6" state="visible" r:id="rId6"/>
    <sheet name="Fig 3" sheetId="7" state="visible" r:id="rId7"/>
    <sheet name="Fig 3a chart" sheetId="8" state="visible" r:id="rId8"/>
    <sheet name="Fig 3b char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1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Figure 2. Operational vs embodied emissions per 600 s run (annual LBM)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'Fig 2'!B1</f>
            </strRef>
          </tx>
          <spPr>
            <a:ln>
              <a:prstDash val="solid"/>
            </a:ln>
          </spPr>
          <cat>
            <numRef>
              <f>'Fig 2'!$A$2:$A$6</f>
            </numRef>
          </cat>
          <val>
            <numRef>
              <f>'Fig 2'!$B$2:$B$6</f>
            </numRef>
          </val>
        </ser>
        <ser>
          <idx val="1"/>
          <order val="1"/>
          <tx>
            <strRef>
              <f>'Fig 2'!C1</f>
            </strRef>
          </tx>
          <spPr>
            <a:ln>
              <a:prstDash val="solid"/>
            </a:ln>
          </spPr>
          <cat>
            <numRef>
              <f>'Fig 2'!$A$2:$A$6</f>
            </numRef>
          </cat>
          <val>
            <numRef>
              <f>'Fig 2'!$C$2:$C$6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xPr>
          <a:bodyPr/>
          <a:p>
            <a:pPr>
              <a:defRPr sz="1100" b="0"/>
            </a:pPr>
            <a:r>
              <a:t/>
            </a:r>
            <a:endParaRPr sz="1100" b="0"/>
          </a:p>
        </txPr>
        <crossAx val="100"/>
        <lblOffset val="100"/>
      </catAx>
      <valAx>
        <axId val="100"/>
        <scaling>
          <orientation val="minMax"/>
          <max val="3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gCO2e per 600 s run</a:t>
                </a:r>
              </a:p>
            </rich>
          </tx>
        </title>
        <numFmt formatCode="0.0" sourceLinked="0"/>
        <majorTickMark val="none"/>
        <minorTickMark val="none"/>
        <txPr>
          <a:bodyPr/>
          <a:p>
            <a:pPr>
              <a:defRPr sz="1000" b="0"/>
            </a:pPr>
            <a:r>
              <a:t/>
            </a:r>
            <a:endParaRPr sz="1000" b="0"/>
          </a:p>
        </txPr>
        <crossAx val="10"/>
        <majorUnit val="0.5"/>
      </valAx>
    </plotArea>
    <legend>
      <legendPos val="r"/>
      <txPr>
        <a:bodyPr/>
        <a:p>
          <a:pPr>
            <a:defRPr sz="1000" b="0"/>
          </a:pPr>
          <a:r>
            <a:t/>
          </a:r>
          <a:endParaRPr sz="1000" b="0"/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Figure 3a. ap-south-1: change in SCI vs baseline 6.582 (gCO2e per 10^6 events)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'Fig 3'!F9</f>
            </strRef>
          </tx>
          <spPr>
            <a:ln>
              <a:prstDash val="solid"/>
            </a:ln>
          </spPr>
          <cat>
            <numRef>
              <f>'Fig 3'!$A$10:$A$13</f>
            </numRef>
          </cat>
          <val>
            <numRef>
              <f>'Fig 3'!$F$10:$F$13</f>
            </numRef>
          </val>
        </ser>
        <ser>
          <idx val="1"/>
          <order val="1"/>
          <tx>
            <strRef>
              <f>'Fig 3'!G9</f>
            </strRef>
          </tx>
          <spPr>
            <a:ln>
              <a:prstDash val="solid"/>
            </a:ln>
          </spPr>
          <cat>
            <numRef>
              <f>'Fig 3'!$A$10:$A$13</f>
            </numRef>
          </cat>
          <val>
            <numRef>
              <f>'Fig 3'!$G$10:$G$13</f>
            </numRef>
          </val>
        </ser>
        <gapWidth val="4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/>
          <a:p>
            <a:pPr>
              <a:defRPr sz="1000" b="0"/>
            </a:pPr>
            <a:r>
              <a:t/>
            </a:r>
            <a:endParaRPr sz="1000" b="0"/>
          </a:p>
        </txPr>
        <crossAx val="100"/>
        <lblOffset val="100"/>
      </catAx>
      <valAx>
        <axId val="100"/>
        <scaling>
          <orientation val="minMax"/>
          <max val="1"/>
          <min val="-4"/>
        </scaling>
        <delete val="0"/>
        <axPos val="l"/>
        <majorGridlines/>
        <numFmt formatCode="0" sourceLinked="0"/>
        <majorTickMark val="none"/>
        <minorTickMark val="none"/>
        <txPr>
          <a:bodyPr/>
          <a:p>
            <a:pPr>
              <a:defRPr sz="1000" b="0"/>
            </a:pPr>
            <a:r>
              <a:t/>
            </a:r>
            <a:endParaRPr sz="1000" b="0"/>
          </a:p>
        </txPr>
        <crossAx val="10"/>
        <majorUnit val="1"/>
      </valAx>
    </plotArea>
    <legend>
      <legendPos val="r"/>
      <txPr>
        <a:bodyPr/>
        <a:p>
          <a:pPr>
            <a:defRPr sz="1000" b="0"/>
          </a:pPr>
          <a:r>
            <a:t/>
          </a:r>
          <a:endParaRPr sz="1000" b="0"/>
        </a:p>
      </txPr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Figure 3b. eu-north-1: change in SCI vs baseline 0.402 (gCO2e per 10^6 events)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'Fig 3'!F24</f>
            </strRef>
          </tx>
          <spPr>
            <a:ln>
              <a:prstDash val="solid"/>
            </a:ln>
          </spPr>
          <cat>
            <numRef>
              <f>'Fig 3'!$A$25:$A$28</f>
            </numRef>
          </cat>
          <val>
            <numRef>
              <f>'Fig 3'!$F$25:$F$28</f>
            </numRef>
          </val>
        </ser>
        <ser>
          <idx val="1"/>
          <order val="1"/>
          <tx>
            <strRef>
              <f>'Fig 3'!G24</f>
            </strRef>
          </tx>
          <spPr>
            <a:ln>
              <a:prstDash val="solid"/>
            </a:ln>
          </spPr>
          <cat>
            <numRef>
              <f>'Fig 3'!$A$25:$A$28</f>
            </numRef>
          </cat>
          <val>
            <numRef>
              <f>'Fig 3'!$G$25:$G$28</f>
            </numRef>
          </val>
        </ser>
        <gapWidth val="4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txPr>
          <a:bodyPr/>
          <a:p>
            <a:pPr>
              <a:defRPr sz="1000" b="0"/>
            </a:pPr>
            <a:r>
              <a:t/>
            </a:r>
            <a:endParaRPr sz="1000" b="0"/>
          </a:p>
        </txPr>
        <crossAx val="100"/>
        <lblOffset val="100"/>
      </catAx>
      <valAx>
        <axId val="100"/>
        <scaling>
          <orientation val="minMax"/>
          <max val="0.15"/>
          <min val="-0.15"/>
        </scaling>
        <delete val="0"/>
        <axPos val="l"/>
        <majorGridlines/>
        <numFmt formatCode="0.00" sourceLinked="0"/>
        <majorTickMark val="none"/>
        <minorTickMark val="none"/>
        <txPr>
          <a:bodyPr/>
          <a:p>
            <a:pPr>
              <a:defRPr sz="1000" b="0"/>
            </a:pPr>
            <a:r>
              <a:t/>
            </a:r>
            <a:endParaRPr sz="1000" b="0"/>
          </a:p>
        </txPr>
        <crossAx val="10"/>
        <majorUnit val="0.05"/>
      </valAx>
    </plotArea>
    <legend>
      <legendPos val="r"/>
      <txPr>
        <a:bodyPr/>
        <a:p>
          <a:pPr>
            <a:defRPr sz="1000" b="0"/>
          </a:pPr>
          <a:r>
            <a:t/>
          </a:r>
          <a:endParaRPr sz="1000" b="0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note</t>
        </is>
      </c>
      <c r="D1" s="1" t="n"/>
      <c r="E1" s="1" t="n"/>
    </row>
    <row r="2">
      <c r="A2" t="inlineStr">
        <is>
          <t>ccf_idle_w</t>
        </is>
      </c>
      <c r="B2" t="n">
        <v>1.4</v>
      </c>
      <c r="C2" t="inlineStr">
        <is>
          <t>CCF 2026 m5.large min watts (Cascade Lake 0.71 W/vCPU x 2)</t>
        </is>
      </c>
    </row>
    <row r="3">
      <c r="A3" t="inlineStr">
        <is>
          <t>ccf_max_w</t>
        </is>
      </c>
      <c r="B3" t="n">
        <v>8.1</v>
      </c>
      <c r="C3" t="inlineStr">
        <is>
          <t>CCF 2026 m5.large max watts (4.063 W/vCPU x 2)</t>
        </is>
      </c>
    </row>
    <row r="4">
      <c r="A4" t="inlineStr">
        <is>
          <t>el_base_y</t>
        </is>
      </c>
      <c r="B4" t="n">
        <v>6</v>
      </c>
      <c r="C4" t="inlineStr">
        <is>
          <t>Boavizta hours_life_time 52560 h = 6 y (verbose output, all 4 JSONs)</t>
        </is>
      </c>
    </row>
    <row r="5">
      <c r="A5" t="inlineStr">
        <is>
          <t>el_alt_y</t>
        </is>
      </c>
      <c r="B5" t="n">
        <v>4</v>
      </c>
      <c r="C5" t="inlineStr">
        <is>
          <t>Alternative server lifetime (CCF/AWS-style 4 y)</t>
        </is>
      </c>
    </row>
    <row r="6">
      <c r="A6" t="inlineStr">
        <is>
          <t>pue_delta</t>
        </is>
      </c>
      <c r="B6" t="n">
        <v>0.1</v>
      </c>
      <c r="C6" t="inlineStr">
        <is>
          <t>PUE sensitivity +/-</t>
        </is>
      </c>
    </row>
    <row r="8">
      <c r="A8" s="1" t="inlineStr">
        <is>
          <t>region</t>
        </is>
      </c>
      <c r="B8" s="1" t="inlineStr">
        <is>
          <t>pue</t>
        </is>
      </c>
      <c r="C8" s="1" t="inlineStr">
        <is>
          <t>i_primary</t>
        </is>
      </c>
      <c r="D8" s="1" t="inlineStr">
        <is>
          <t>i_secondary</t>
        </is>
      </c>
      <c r="E8" s="1" t="inlineStr">
        <is>
          <t>i_secondary_source</t>
        </is>
      </c>
    </row>
    <row r="9">
      <c r="A9" t="inlineStr">
        <is>
          <t>eu-north-1</t>
        </is>
      </c>
      <c r="B9" t="n">
        <v>1.12</v>
      </c>
      <c r="C9" t="n">
        <v>21.3</v>
      </c>
      <c r="D9" t="n">
        <v>19</v>
      </c>
      <c r="E9" t="inlineStr">
        <is>
          <t>Google Cloud region carbon table (europe-north2)</t>
        </is>
      </c>
    </row>
    <row r="10">
      <c r="A10" t="inlineStr">
        <is>
          <t>us-west-2</t>
        </is>
      </c>
      <c r="B10" t="n">
        <v>1.14</v>
      </c>
      <c r="C10" t="n">
        <v>98</v>
      </c>
      <c r="D10" t="n">
        <v>288</v>
      </c>
      <c r="E10" t="inlineStr">
        <is>
          <t>EPA eGRID2023 Rev2 NWPP</t>
        </is>
      </c>
    </row>
    <row r="11">
      <c r="A11" t="inlineStr">
        <is>
          <t>eu-west-1</t>
        </is>
      </c>
      <c r="B11" t="n">
        <v>1.12</v>
      </c>
      <c r="C11" t="n">
        <v>301.2</v>
      </c>
      <c r="D11" t="n">
        <v>224.1</v>
      </c>
      <c r="E11" t="inlineStr">
        <is>
          <t>SEAI 2026 emission factor</t>
        </is>
      </c>
    </row>
    <row r="12">
      <c r="A12" t="inlineStr">
        <is>
          <t>us-east-1</t>
        </is>
      </c>
      <c r="B12" t="n">
        <v>1.14</v>
      </c>
      <c r="C12" t="n">
        <v>343</v>
      </c>
      <c r="D12" t="n">
        <v>271</v>
      </c>
      <c r="E12" t="inlineStr">
        <is>
          <t>EPA eGRID2023 Rev2 SRVC</t>
        </is>
      </c>
    </row>
    <row r="13">
      <c r="A13" t="inlineStr">
        <is>
          <t>ap-south-1</t>
        </is>
      </c>
      <c r="B13" t="n">
        <v>1.28</v>
      </c>
      <c r="C13" t="n">
        <v>598</v>
      </c>
      <c r="D13" t="n">
        <v>671</v>
      </c>
      <c r="E13" t="inlineStr">
        <is>
          <t>Ember Yearly Electricity Data 2025 India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instance_id</t>
        </is>
      </c>
      <c r="C1" s="1" t="inlineStr">
        <is>
          <t>instance_type</t>
        </is>
      </c>
      <c r="D1" s="1" t="inlineStr">
        <is>
          <t>cpu_model</t>
        </is>
      </c>
      <c r="E1" s="1" t="inlineStr">
        <is>
          <t>run</t>
        </is>
      </c>
      <c r="F1" s="1" t="inlineStr">
        <is>
          <t>start_utc</t>
        </is>
      </c>
      <c r="G1" s="1" t="inlineStr">
        <is>
          <t>end_utc</t>
        </is>
      </c>
      <c r="H1" s="1" t="inlineStr">
        <is>
          <t>events_per_sec</t>
        </is>
      </c>
      <c r="I1" s="1" t="inlineStr">
        <is>
          <t>total_events</t>
        </is>
      </c>
      <c r="J1" s="1" t="inlineStr">
        <is>
          <t>idle_cpu_pct</t>
        </is>
      </c>
      <c r="K1" s="1" t="inlineStr">
        <is>
          <t>run_cpu_pct</t>
        </is>
      </c>
      <c r="L1" s="1" t="inlineStr">
        <is>
          <t>watts_est</t>
        </is>
      </c>
      <c r="M1" s="1" t="inlineStr">
        <is>
          <t>pue</t>
        </is>
      </c>
      <c r="N1" s="1" t="inlineStr">
        <is>
          <t>e_kwh</t>
        </is>
      </c>
      <c r="O1" s="1" t="inlineStr">
        <is>
          <t>i_annual</t>
        </is>
      </c>
      <c r="P1" s="1" t="inlineStr">
        <is>
          <t>i_hourly</t>
        </is>
      </c>
      <c r="Q1" s="1" t="inlineStr">
        <is>
          <t>i_hourly_source</t>
        </is>
      </c>
      <c r="R1" s="1" t="inlineStr">
        <is>
          <t>op_g_lbm_annual</t>
        </is>
      </c>
      <c r="S1" s="1" t="inlineStr">
        <is>
          <t>op_g_lbm_hourly</t>
        </is>
      </c>
      <c r="T1" s="1" t="inlineStr">
        <is>
          <t>embodied_g</t>
        </is>
      </c>
      <c r="U1" s="1" t="inlineStr">
        <is>
          <t>sci_lbm_annual_g_per_1e6ev</t>
        </is>
      </c>
      <c r="V1" s="1" t="inlineStr">
        <is>
          <t>sci_lbm_hourly_g_per_1e6ev</t>
        </is>
      </c>
      <c r="W1" s="1" t="inlineStr">
        <is>
          <t>sci_mbm_g_per_1e6ev</t>
        </is>
      </c>
      <c r="X1" s="1" t="inlineStr">
        <is>
          <t>r_1e6ev</t>
        </is>
      </c>
      <c r="Y1" s="1" t="inlineStr">
        <is>
          <t>e_kwh_per_r</t>
        </is>
      </c>
      <c r="Z1" s="1" t="inlineStr">
        <is>
          <t>inv_r</t>
        </is>
      </c>
      <c r="AA1" s="1" t="inlineStr">
        <is>
          <t>watts_ccf</t>
        </is>
      </c>
      <c r="AB1" s="1" t="inlineStr">
        <is>
          <t>e_kwh_ccf_per_r</t>
        </is>
      </c>
    </row>
    <row r="2">
      <c r="A2" t="inlineStr">
        <is>
          <t>ap-south-1</t>
        </is>
      </c>
      <c r="B2" t="inlineStr">
        <is>
          <t>i-07bf2585a11179919</t>
        </is>
      </c>
      <c r="C2" t="inlineStr">
        <is>
          <t>m5.large</t>
        </is>
      </c>
      <c r="D2" t="inlineStr">
        <is>
          <t>Intel(R) Xeon(R) Platinum 8175M CPU @ 2.50GHz</t>
        </is>
      </c>
      <c r="E2" t="n">
        <v>1</v>
      </c>
      <c r="F2" t="inlineStr">
        <is>
          <t>2026-10-11T21:11:28+00:00</t>
        </is>
      </c>
      <c r="G2" t="inlineStr">
        <is>
          <t>2026-10-11T21:21:28+00:00</t>
        </is>
      </c>
      <c r="H2" t="n">
        <v>725.67</v>
      </c>
      <c r="I2" t="n">
        <v>435404</v>
      </c>
      <c r="J2" t="n">
        <v>0.1125011984268487</v>
      </c>
      <c r="K2" t="n">
        <v>99.97062554816368</v>
      </c>
      <c r="L2" t="n">
        <v>19.99653381468331</v>
      </c>
      <c r="M2" t="n">
        <v>1.28</v>
      </c>
      <c r="N2" t="n">
        <v>0.004265937878617142</v>
      </c>
      <c r="O2" t="n">
        <v>598</v>
      </c>
      <c r="P2" t="n">
        <v>700</v>
      </c>
      <c r="Q2" t="inlineStr">
        <is>
          <t>em-hourly.csv</t>
        </is>
      </c>
      <c r="R2" t="n">
        <v>2.551030851413051</v>
      </c>
      <c r="S2" t="n">
        <v>2.986156515031999</v>
      </c>
      <c r="T2" t="n">
        <v>0.076</v>
      </c>
      <c r="U2" t="n">
        <v>6.03354781171751</v>
      </c>
      <c r="V2" t="n">
        <v>7.032908551671549</v>
      </c>
      <c r="W2" t="n">
        <v>0.1745505323791237</v>
      </c>
      <c r="X2">
        <f>I2/1000000</f>
        <v/>
      </c>
      <c r="Y2">
        <f>N2/X2</f>
        <v/>
      </c>
      <c r="Z2">
        <f>1/X2</f>
        <v/>
      </c>
      <c r="AA2">
        <f>params!$B$2+(params!$B$3-params!$B$2)*K2/100</f>
        <v/>
      </c>
      <c r="AB2">
        <f>Y2*AA2/L2</f>
        <v/>
      </c>
    </row>
    <row r="3">
      <c r="A3" t="inlineStr">
        <is>
          <t>ap-south-1</t>
        </is>
      </c>
      <c r="B3" t="inlineStr">
        <is>
          <t>i-07bf2585a11179919</t>
        </is>
      </c>
      <c r="C3" t="inlineStr">
        <is>
          <t>m5.large</t>
        </is>
      </c>
      <c r="D3" t="inlineStr">
        <is>
          <t>Intel(R) Xeon(R) Platinum 8175M CPU @ 2.50GHz</t>
        </is>
      </c>
      <c r="E3" t="n">
        <v>2</v>
      </c>
      <c r="F3" t="inlineStr">
        <is>
          <t>2026-10-11T21:22:28+00:00</t>
        </is>
      </c>
      <c r="G3" t="inlineStr">
        <is>
          <t>2026-10-11T21:32:28+00:00</t>
        </is>
      </c>
      <c r="H3" t="n">
        <v>715.03</v>
      </c>
      <c r="I3" t="n">
        <v>429020</v>
      </c>
      <c r="J3" t="n">
        <v>0.1125011984268487</v>
      </c>
      <c r="K3" t="n">
        <v>99.96875018725011</v>
      </c>
      <c r="L3" t="n">
        <v>19.99631252209551</v>
      </c>
      <c r="M3" t="n">
        <v>1.28</v>
      </c>
      <c r="N3" t="n">
        <v>0.004265900623133733</v>
      </c>
      <c r="O3" t="n">
        <v>598</v>
      </c>
      <c r="P3" t="n">
        <v>700</v>
      </c>
      <c r="Q3" t="inlineStr">
        <is>
          <t>em-hourly.csv</t>
        </is>
      </c>
      <c r="R3" t="n">
        <v>2.551008572633972</v>
      </c>
      <c r="S3" t="n">
        <v>2.986130436193613</v>
      </c>
      <c r="T3" t="n">
        <v>0.076</v>
      </c>
      <c r="U3" t="n">
        <v>6.123277638883903</v>
      </c>
      <c r="V3" t="n">
        <v>7.137500433997513</v>
      </c>
      <c r="W3" t="n">
        <v>0.1771479185119575</v>
      </c>
      <c r="X3">
        <f>I3/1000000</f>
        <v/>
      </c>
      <c r="Y3">
        <f>N3/X3</f>
        <v/>
      </c>
      <c r="Z3">
        <f>1/X3</f>
        <v/>
      </c>
      <c r="AA3">
        <f>params!$B$2+(params!$B$3-params!$B$2)*K3/100</f>
        <v/>
      </c>
      <c r="AB3">
        <f>Y3*AA3/L3</f>
        <v/>
      </c>
    </row>
    <row r="4">
      <c r="A4" t="inlineStr">
        <is>
          <t>ap-south-1</t>
        </is>
      </c>
      <c r="B4" t="inlineStr">
        <is>
          <t>i-07bf2585a11179919</t>
        </is>
      </c>
      <c r="C4" t="inlineStr">
        <is>
          <t>m5.large</t>
        </is>
      </c>
      <c r="D4" t="inlineStr">
        <is>
          <t>Intel(R) Xeon(R) Platinum 8175M CPU @ 2.50GHz</t>
        </is>
      </c>
      <c r="E4" t="n">
        <v>3</v>
      </c>
      <c r="F4" t="inlineStr">
        <is>
          <t>2026-10-11T21:33:28+00:00</t>
        </is>
      </c>
      <c r="G4" t="inlineStr">
        <is>
          <t>2026-10-11T21:43:28+00:00</t>
        </is>
      </c>
      <c r="H4" t="n">
        <v>673.12</v>
      </c>
      <c r="I4" t="n">
        <v>403872</v>
      </c>
      <c r="J4" t="n">
        <v>0.1125011984268487</v>
      </c>
      <c r="K4" t="n">
        <v>99.95645822218252</v>
      </c>
      <c r="L4" t="n">
        <v>19.99486207021754</v>
      </c>
      <c r="M4" t="n">
        <v>1.28</v>
      </c>
      <c r="N4" t="n">
        <v>0.004265581949834609</v>
      </c>
      <c r="O4" t="n">
        <v>598</v>
      </c>
      <c r="P4" t="n">
        <v>700</v>
      </c>
      <c r="Q4" t="inlineStr">
        <is>
          <t>em-hourly.csv</t>
        </is>
      </c>
      <c r="R4" t="n">
        <v>2.550818006001096</v>
      </c>
      <c r="S4" t="n">
        <v>2.985907364884226</v>
      </c>
      <c r="T4" t="n">
        <v>0.076</v>
      </c>
      <c r="U4" t="n">
        <v>6.50408546767564</v>
      </c>
      <c r="V4" t="n">
        <v>7.581380647542355</v>
      </c>
      <c r="W4" t="n">
        <v>0.1881784327707789</v>
      </c>
      <c r="X4">
        <f>I4/1000000</f>
        <v/>
      </c>
      <c r="Y4">
        <f>N4/X4</f>
        <v/>
      </c>
      <c r="Z4">
        <f>1/X4</f>
        <v/>
      </c>
      <c r="AA4">
        <f>params!$B$2+(params!$B$3-params!$B$2)*K4/100</f>
        <v/>
      </c>
      <c r="AB4">
        <f>Y4*AA4/L4</f>
        <v/>
      </c>
    </row>
    <row r="5">
      <c r="A5" t="inlineStr">
        <is>
          <t>ap-south-1</t>
        </is>
      </c>
      <c r="B5" t="inlineStr">
        <is>
          <t>i-07bf2585a11179919</t>
        </is>
      </c>
      <c r="C5" t="inlineStr">
        <is>
          <t>m5.large</t>
        </is>
      </c>
      <c r="D5" t="inlineStr">
        <is>
          <t>Intel(R) Xeon(R) Platinum 8175M CPU @ 2.50GHz</t>
        </is>
      </c>
      <c r="E5" t="n">
        <v>4</v>
      </c>
      <c r="F5" t="inlineStr">
        <is>
          <t>2026-10-11T21:44:28+00:00</t>
        </is>
      </c>
      <c r="G5" t="inlineStr">
        <is>
          <t>2026-10-11T21:54:28+00:00</t>
        </is>
      </c>
      <c r="H5" t="n">
        <v>668.63</v>
      </c>
      <c r="I5" t="n">
        <v>401184</v>
      </c>
      <c r="J5" t="n">
        <v>0.1125011984268487</v>
      </c>
      <c r="K5" t="n">
        <v>99.95729025175677</v>
      </c>
      <c r="L5" t="n">
        <v>19.9949602497073</v>
      </c>
      <c r="M5" t="n">
        <v>1.28</v>
      </c>
      <c r="N5" t="n">
        <v>0.004265616402554756</v>
      </c>
      <c r="O5" t="n">
        <v>598</v>
      </c>
      <c r="P5" t="n">
        <v>700</v>
      </c>
      <c r="Q5" t="inlineStr">
        <is>
          <t>em-hourly.csv</t>
        </is>
      </c>
      <c r="R5" t="n">
        <v>2.550838608727744</v>
      </c>
      <c r="S5" t="n">
        <v>2.985931481788329</v>
      </c>
      <c r="T5" t="n">
        <v>0.076</v>
      </c>
      <c r="U5" t="n">
        <v>6.547715284577012</v>
      </c>
      <c r="V5" t="n">
        <v>7.632237282115761</v>
      </c>
      <c r="W5" t="n">
        <v>0.1894392597910186</v>
      </c>
      <c r="X5">
        <f>I5/1000000</f>
        <v/>
      </c>
      <c r="Y5">
        <f>N5/X5</f>
        <v/>
      </c>
      <c r="Z5">
        <f>1/X5</f>
        <v/>
      </c>
      <c r="AA5">
        <f>params!$B$2+(params!$B$3-params!$B$2)*K5/100</f>
        <v/>
      </c>
      <c r="AB5">
        <f>Y5*AA5/L5</f>
        <v/>
      </c>
    </row>
    <row r="6">
      <c r="A6" t="inlineStr">
        <is>
          <t>ap-south-1</t>
        </is>
      </c>
      <c r="B6" t="inlineStr">
        <is>
          <t>i-07bf2585a11179919</t>
        </is>
      </c>
      <c r="C6" t="inlineStr">
        <is>
          <t>m5.large</t>
        </is>
      </c>
      <c r="D6" t="inlineStr">
        <is>
          <t>Intel(R) Xeon(R) Platinum 8175M CPU @ 2.50GHz</t>
        </is>
      </c>
      <c r="E6" t="n">
        <v>5</v>
      </c>
      <c r="F6" t="inlineStr">
        <is>
          <t>2026-10-11T21:55:28+00:00</t>
        </is>
      </c>
      <c r="G6" t="inlineStr">
        <is>
          <t>2026-10-11T22:05:28+00:00</t>
        </is>
      </c>
      <c r="H6" t="n">
        <v>669.2</v>
      </c>
      <c r="I6" t="n">
        <v>401523</v>
      </c>
      <c r="J6" t="n">
        <v>0.1125011984268487</v>
      </c>
      <c r="K6" t="n">
        <v>99.967708249897</v>
      </c>
      <c r="L6" t="n">
        <v>19.99618957348785</v>
      </c>
      <c r="M6" t="n">
        <v>1.28</v>
      </c>
      <c r="N6" t="n">
        <v>0.004265865151287476</v>
      </c>
      <c r="O6" t="n">
        <v>598</v>
      </c>
      <c r="P6" t="n">
        <v>700</v>
      </c>
      <c r="Q6" t="inlineStr">
        <is>
          <t>em-hourly.csv</t>
        </is>
      </c>
      <c r="R6" t="n">
        <v>2.550987360469911</v>
      </c>
      <c r="S6" t="n">
        <v>2.986105605901233</v>
      </c>
      <c r="T6" t="n">
        <v>0.076</v>
      </c>
      <c r="U6" t="n">
        <v>6.54255761306304</v>
      </c>
      <c r="V6" t="n">
        <v>7.62622715486095</v>
      </c>
      <c r="W6" t="n">
        <v>0.1892793189929344</v>
      </c>
      <c r="X6">
        <f>I6/1000000</f>
        <v/>
      </c>
      <c r="Y6">
        <f>N6/X6</f>
        <v/>
      </c>
      <c r="Z6">
        <f>1/X6</f>
        <v/>
      </c>
      <c r="AA6">
        <f>params!$B$2+(params!$B$3-params!$B$2)*K6/100</f>
        <v/>
      </c>
      <c r="AB6">
        <f>Y6*AA6/L6</f>
        <v/>
      </c>
    </row>
    <row r="7">
      <c r="A7" t="inlineStr">
        <is>
          <t>ap-south-1</t>
        </is>
      </c>
      <c r="B7" t="inlineStr">
        <is>
          <t>i-0deb59a994eb5fd08</t>
        </is>
      </c>
      <c r="C7" t="inlineStr">
        <is>
          <t>m5.large</t>
        </is>
      </c>
      <c r="D7" t="inlineStr">
        <is>
          <t>Intel(R) Xeon(R) Platinum 8175M CPU @ 2.50GHz</t>
        </is>
      </c>
      <c r="E7" t="n">
        <v>1</v>
      </c>
      <c r="F7" t="inlineStr">
        <is>
          <t>2026-10-11T14:19:48+00:00</t>
        </is>
      </c>
      <c r="G7" t="inlineStr">
        <is>
          <t>2026-10-11T14:29:48+00:00</t>
        </is>
      </c>
      <c r="H7" t="n">
        <v>642.6</v>
      </c>
      <c r="I7" t="n">
        <v>385564</v>
      </c>
      <c r="J7" t="n">
        <v>0.1541603399552004</v>
      </c>
      <c r="K7" t="n">
        <v>99.94770733592777</v>
      </c>
      <c r="L7" t="n">
        <v>19.99382946563948</v>
      </c>
      <c r="M7" t="n">
        <v>1.28</v>
      </c>
      <c r="N7" t="n">
        <v>0.004265374456321377</v>
      </c>
      <c r="O7" t="n">
        <v>598</v>
      </c>
      <c r="P7" t="n">
        <v>674</v>
      </c>
      <c r="Q7" t="inlineStr">
        <is>
          <t>em-hourly.csv</t>
        </is>
      </c>
      <c r="R7" t="n">
        <v>2.550693924880183</v>
      </c>
      <c r="S7" t="n">
        <v>2.874862383560608</v>
      </c>
      <c r="T7" t="n">
        <v>0.076</v>
      </c>
      <c r="U7" t="n">
        <v>6.812601604092144</v>
      </c>
      <c r="V7" t="n">
        <v>7.653365935514228</v>
      </c>
      <c r="W7" t="n">
        <v>0.197113838428899</v>
      </c>
      <c r="X7">
        <f>I7/1000000</f>
        <v/>
      </c>
      <c r="Y7">
        <f>N7/X7</f>
        <v/>
      </c>
      <c r="Z7">
        <f>1/X7</f>
        <v/>
      </c>
      <c r="AA7">
        <f>params!$B$2+(params!$B$3-params!$B$2)*K7/100</f>
        <v/>
      </c>
      <c r="AB7">
        <f>Y7*AA7/L7</f>
        <v/>
      </c>
    </row>
    <row r="8">
      <c r="A8" t="inlineStr">
        <is>
          <t>ap-south-1</t>
        </is>
      </c>
      <c r="B8" t="inlineStr">
        <is>
          <t>i-0deb59a994eb5fd08</t>
        </is>
      </c>
      <c r="C8" t="inlineStr">
        <is>
          <t>m5.large</t>
        </is>
      </c>
      <c r="D8" t="inlineStr">
        <is>
          <t>Intel(R) Xeon(R) Platinum 8175M CPU @ 2.50GHz</t>
        </is>
      </c>
      <c r="E8" t="n">
        <v>2</v>
      </c>
      <c r="F8" t="inlineStr">
        <is>
          <t>2026-10-11T14:30:48+00:00</t>
        </is>
      </c>
      <c r="G8" t="inlineStr">
        <is>
          <t>2026-10-11T14:40:48+00:00</t>
        </is>
      </c>
      <c r="H8" t="n">
        <v>642.37</v>
      </c>
      <c r="I8" t="n">
        <v>385424</v>
      </c>
      <c r="J8" t="n">
        <v>0.1541603399552004</v>
      </c>
      <c r="K8" t="n">
        <v>99.94999962387311</v>
      </c>
      <c r="L8" t="n">
        <v>19.99409995561703</v>
      </c>
      <c r="M8" t="n">
        <v>1.28</v>
      </c>
      <c r="N8" t="n">
        <v>0.004265435715683571</v>
      </c>
      <c r="O8" t="n">
        <v>598</v>
      </c>
      <c r="P8" t="n">
        <v>674</v>
      </c>
      <c r="Q8" t="inlineStr">
        <is>
          <t>em-hourly.csv</t>
        </is>
      </c>
      <c r="R8" t="n">
        <v>2.550730557978775</v>
      </c>
      <c r="S8" t="n">
        <v>2.874903672370727</v>
      </c>
      <c r="T8" t="n">
        <v>0.076</v>
      </c>
      <c r="U8" t="n">
        <v>6.815171234740897</v>
      </c>
      <c r="V8" t="n">
        <v>7.656253041768875</v>
      </c>
      <c r="W8" t="n">
        <v>0.1971854373365436</v>
      </c>
      <c r="X8">
        <f>I8/1000000</f>
        <v/>
      </c>
      <c r="Y8">
        <f>N8/X8</f>
        <v/>
      </c>
      <c r="Z8">
        <f>1/X8</f>
        <v/>
      </c>
      <c r="AA8">
        <f>params!$B$2+(params!$B$3-params!$B$2)*K8/100</f>
        <v/>
      </c>
      <c r="AB8">
        <f>Y8*AA8/L8</f>
        <v/>
      </c>
    </row>
    <row r="9">
      <c r="A9" t="inlineStr">
        <is>
          <t>ap-south-1</t>
        </is>
      </c>
      <c r="B9" t="inlineStr">
        <is>
          <t>i-0deb59a994eb5fd08</t>
        </is>
      </c>
      <c r="C9" t="inlineStr">
        <is>
          <t>m5.large</t>
        </is>
      </c>
      <c r="D9" t="inlineStr">
        <is>
          <t>Intel(R) Xeon(R) Platinum 8175M CPU @ 2.50GHz</t>
        </is>
      </c>
      <c r="E9" t="n">
        <v>3</v>
      </c>
      <c r="F9" t="inlineStr">
        <is>
          <t>2026-10-11T14:41:48+00:00</t>
        </is>
      </c>
      <c r="G9" t="inlineStr">
        <is>
          <t>2026-10-11T14:51:48+00:00</t>
        </is>
      </c>
      <c r="H9" t="n">
        <v>642.76</v>
      </c>
      <c r="I9" t="n">
        <v>385661</v>
      </c>
      <c r="J9" t="n">
        <v>0.1541603399552004</v>
      </c>
      <c r="K9" t="n">
        <v>99.95083296099237</v>
      </c>
      <c r="L9" t="n">
        <v>19.9941982893971</v>
      </c>
      <c r="M9" t="n">
        <v>1.28</v>
      </c>
      <c r="N9" t="n">
        <v>0.004265448162835072</v>
      </c>
      <c r="O9" t="n">
        <v>598</v>
      </c>
      <c r="P9" t="n">
        <v>674</v>
      </c>
      <c r="Q9" t="inlineStr">
        <is>
          <t>em-hourly.csv</t>
        </is>
      </c>
      <c r="R9" t="n">
        <v>2.550738001375373</v>
      </c>
      <c r="S9" t="n">
        <v>2.874912061750838</v>
      </c>
      <c r="T9" t="n">
        <v>0.076</v>
      </c>
      <c r="U9" t="n">
        <v>6.811002412417571</v>
      </c>
      <c r="V9" t="n">
        <v>7.651569802886054</v>
      </c>
      <c r="W9" t="n">
        <v>0.1970642610997742</v>
      </c>
      <c r="X9">
        <f>I9/1000000</f>
        <v/>
      </c>
      <c r="Y9">
        <f>N9/X9</f>
        <v/>
      </c>
      <c r="Z9">
        <f>1/X9</f>
        <v/>
      </c>
      <c r="AA9">
        <f>params!$B$2+(params!$B$3-params!$B$2)*K9/100</f>
        <v/>
      </c>
      <c r="AB9">
        <f>Y9*AA9/L9</f>
        <v/>
      </c>
    </row>
    <row r="10">
      <c r="A10" t="inlineStr">
        <is>
          <t>ap-south-1</t>
        </is>
      </c>
      <c r="B10" t="inlineStr">
        <is>
          <t>i-0deb59a994eb5fd08</t>
        </is>
      </c>
      <c r="C10" t="inlineStr">
        <is>
          <t>m5.large</t>
        </is>
      </c>
      <c r="D10" t="inlineStr">
        <is>
          <t>Intel(R) Xeon(R) Platinum 8175M CPU @ 2.50GHz</t>
        </is>
      </c>
      <c r="E10" t="n">
        <v>4</v>
      </c>
      <c r="F10" t="inlineStr">
        <is>
          <t>2026-10-11T14:52:48+00:00</t>
        </is>
      </c>
      <c r="G10" t="inlineStr">
        <is>
          <t>2026-10-11T15:02:48+00:00</t>
        </is>
      </c>
      <c r="H10" t="n">
        <v>642.67</v>
      </c>
      <c r="I10" t="n">
        <v>385603</v>
      </c>
      <c r="J10" t="n">
        <v>0.1541603399552004</v>
      </c>
      <c r="K10" t="n">
        <v>99.95146040479135</v>
      </c>
      <c r="L10" t="n">
        <v>19.99427232776538</v>
      </c>
      <c r="M10" t="n">
        <v>1.28</v>
      </c>
      <c r="N10" t="n">
        <v>0.004265456137775984</v>
      </c>
      <c r="O10" t="n">
        <v>598</v>
      </c>
      <c r="P10" t="n">
        <v>674</v>
      </c>
      <c r="Q10" t="inlineStr">
        <is>
          <t>em-hourly.csv</t>
        </is>
      </c>
      <c r="R10" t="n">
        <v>2.550742770390038</v>
      </c>
      <c r="S10" t="n">
        <v>2.874917436861013</v>
      </c>
      <c r="T10" t="n">
        <v>0.076</v>
      </c>
      <c r="U10" t="n">
        <v>6.812039248631465</v>
      </c>
      <c r="V10" t="n">
        <v>7.652734643820233</v>
      </c>
      <c r="W10" t="n">
        <v>0.1970939022777312</v>
      </c>
      <c r="X10">
        <f>I10/1000000</f>
        <v/>
      </c>
      <c r="Y10">
        <f>N10/X10</f>
        <v/>
      </c>
      <c r="Z10">
        <f>1/X10</f>
        <v/>
      </c>
      <c r="AA10">
        <f>params!$B$2+(params!$B$3-params!$B$2)*K10/100</f>
        <v/>
      </c>
      <c r="AB10">
        <f>Y10*AA10/L10</f>
        <v/>
      </c>
    </row>
    <row r="11">
      <c r="A11" t="inlineStr">
        <is>
          <t>ap-south-1</t>
        </is>
      </c>
      <c r="B11" t="inlineStr">
        <is>
          <t>i-0deb59a994eb5fd08</t>
        </is>
      </c>
      <c r="C11" t="inlineStr">
        <is>
          <t>m5.large</t>
        </is>
      </c>
      <c r="D11" t="inlineStr">
        <is>
          <t>Intel(R) Xeon(R) Platinum 8175M CPU @ 2.50GHz</t>
        </is>
      </c>
      <c r="E11" t="n">
        <v>5</v>
      </c>
      <c r="F11" t="inlineStr">
        <is>
          <t>2026-10-11T15:03:48+00:00</t>
        </is>
      </c>
      <c r="G11" t="inlineStr">
        <is>
          <t>2026-10-11T15:13:48+00:00</t>
        </is>
      </c>
      <c r="H11" t="n">
        <v>642.36</v>
      </c>
      <c r="I11" t="n">
        <v>385418</v>
      </c>
      <c r="J11" t="n">
        <v>0.1541603399552004</v>
      </c>
      <c r="K11" t="n">
        <v>99.95104247750409</v>
      </c>
      <c r="L11" t="n">
        <v>19.99422301234548</v>
      </c>
      <c r="M11" t="n">
        <v>1.28</v>
      </c>
      <c r="N11" t="n">
        <v>0.004265459835239158</v>
      </c>
      <c r="O11" t="n">
        <v>598</v>
      </c>
      <c r="P11" t="n">
        <v>674</v>
      </c>
      <c r="Q11" t="inlineStr">
        <is>
          <t>em-hourly.csv</t>
        </is>
      </c>
      <c r="R11" t="n">
        <v>2.550744981473017</v>
      </c>
      <c r="S11" t="n">
        <v>2.874919928951193</v>
      </c>
      <c r="T11" t="n">
        <v>0.076</v>
      </c>
      <c r="U11" t="n">
        <v>6.815314753003276</v>
      </c>
      <c r="V11" t="n">
        <v>7.656414409682975</v>
      </c>
      <c r="W11" t="n">
        <v>0.1971885070235433</v>
      </c>
      <c r="X11">
        <f>I11/1000000</f>
        <v/>
      </c>
      <c r="Y11">
        <f>N11/X11</f>
        <v/>
      </c>
      <c r="Z11">
        <f>1/X11</f>
        <v/>
      </c>
      <c r="AA11">
        <f>params!$B$2+(params!$B$3-params!$B$2)*K11/100</f>
        <v/>
      </c>
      <c r="AB11">
        <f>Y11*AA11/L11</f>
        <v/>
      </c>
    </row>
    <row r="12">
      <c r="A12" t="inlineStr">
        <is>
          <t>eu-north-1</t>
        </is>
      </c>
      <c r="B12" t="inlineStr">
        <is>
          <t>i-074edeef46628b873</t>
        </is>
      </c>
      <c r="C12" t="inlineStr">
        <is>
          <t>m5.large</t>
        </is>
      </c>
      <c r="D12" t="inlineStr">
        <is>
          <t>Intel(R) Xeon(R) Platinum 8259CL CPU @ 2.50GHz</t>
        </is>
      </c>
      <c r="E12" t="n">
        <v>1</v>
      </c>
      <c r="F12" t="inlineStr">
        <is>
          <t>2026-10-11T14:19:47+00:00</t>
        </is>
      </c>
      <c r="G12" t="inlineStr">
        <is>
          <t>2026-10-11T14:29:47+00:00</t>
        </is>
      </c>
      <c r="H12" t="n">
        <v>644.77</v>
      </c>
      <c r="I12" t="n">
        <v>386865</v>
      </c>
      <c r="J12" t="n">
        <v>0.1281251425687558</v>
      </c>
      <c r="K12" t="n">
        <v>99.9097909707186</v>
      </c>
      <c r="L12" t="n">
        <v>19.9893553345448</v>
      </c>
      <c r="M12" t="n">
        <v>1.12</v>
      </c>
      <c r="N12" t="n">
        <v>0.003731361254500346</v>
      </c>
      <c r="O12" t="n">
        <v>21.3</v>
      </c>
      <c r="P12" t="n">
        <v>23</v>
      </c>
      <c r="Q12" t="inlineStr">
        <is>
          <t>em-hourly.csv</t>
        </is>
      </c>
      <c r="R12" t="n">
        <v>0.07947799472085737</v>
      </c>
      <c r="S12" t="n">
        <v>0.08582130885350794</v>
      </c>
      <c r="T12" t="n">
        <v>0.076</v>
      </c>
      <c r="U12" t="n">
        <v>0.401892119268627</v>
      </c>
      <c r="V12" t="n">
        <v>0.4182888316428416</v>
      </c>
      <c r="W12" t="n">
        <v>0.1964509583446422</v>
      </c>
      <c r="X12">
        <f>I12/1000000</f>
        <v/>
      </c>
      <c r="Y12">
        <f>N12/X12</f>
        <v/>
      </c>
      <c r="Z12">
        <f>1/X12</f>
        <v/>
      </c>
      <c r="AA12">
        <f>params!$B$2+(params!$B$3-params!$B$2)*K12/100</f>
        <v/>
      </c>
      <c r="AB12">
        <f>Y12*AA12/L12</f>
        <v/>
      </c>
    </row>
    <row r="13">
      <c r="A13" t="inlineStr">
        <is>
          <t>eu-north-1</t>
        </is>
      </c>
      <c r="B13" t="inlineStr">
        <is>
          <t>i-074edeef46628b873</t>
        </is>
      </c>
      <c r="C13" t="inlineStr">
        <is>
          <t>m5.large</t>
        </is>
      </c>
      <c r="D13" t="inlineStr">
        <is>
          <t>Intel(R) Xeon(R) Platinum 8259CL CPU @ 2.50GHz</t>
        </is>
      </c>
      <c r="E13" t="n">
        <v>2</v>
      </c>
      <c r="F13" t="inlineStr">
        <is>
          <t>2026-10-11T14:30:47+00:00</t>
        </is>
      </c>
      <c r="G13" t="inlineStr">
        <is>
          <t>2026-10-11T14:40:47+00:00</t>
        </is>
      </c>
      <c r="H13" t="n">
        <v>643.95</v>
      </c>
      <c r="I13" t="n">
        <v>386375</v>
      </c>
      <c r="J13" t="n">
        <v>0.1281251425687558</v>
      </c>
      <c r="K13" t="n">
        <v>99.96666706148504</v>
      </c>
      <c r="L13" t="n">
        <v>19.99606671325524</v>
      </c>
      <c r="M13" t="n">
        <v>1.12</v>
      </c>
      <c r="N13" t="n">
        <v>0.003732615916503684</v>
      </c>
      <c r="O13" t="n">
        <v>21.3</v>
      </c>
      <c r="P13" t="n">
        <v>23</v>
      </c>
      <c r="Q13" t="inlineStr">
        <is>
          <t>em-hourly.csv</t>
        </is>
      </c>
      <c r="R13" t="n">
        <v>0.07950471902152846</v>
      </c>
      <c r="S13" t="n">
        <v>0.08585016607958472</v>
      </c>
      <c r="T13" t="n">
        <v>0.076</v>
      </c>
      <c r="U13" t="n">
        <v>0.4024709647920504</v>
      </c>
      <c r="V13" t="n">
        <v>0.4188939917944606</v>
      </c>
      <c r="W13" t="n">
        <v>0.1967000970559689</v>
      </c>
      <c r="X13">
        <f>I13/1000000</f>
        <v/>
      </c>
      <c r="Y13">
        <f>N13/X13</f>
        <v/>
      </c>
      <c r="Z13">
        <f>1/X13</f>
        <v/>
      </c>
      <c r="AA13">
        <f>params!$B$2+(params!$B$3-params!$B$2)*K13/100</f>
        <v/>
      </c>
      <c r="AB13">
        <f>Y13*AA13/L13</f>
        <v/>
      </c>
    </row>
    <row r="14">
      <c r="A14" t="inlineStr">
        <is>
          <t>eu-north-1</t>
        </is>
      </c>
      <c r="B14" t="inlineStr">
        <is>
          <t>i-074edeef46628b873</t>
        </is>
      </c>
      <c r="C14" t="inlineStr">
        <is>
          <t>m5.large</t>
        </is>
      </c>
      <c r="D14" t="inlineStr">
        <is>
          <t>Intel(R) Xeon(R) Platinum 8259CL CPU @ 2.50GHz</t>
        </is>
      </c>
      <c r="E14" t="n">
        <v>3</v>
      </c>
      <c r="F14" t="inlineStr">
        <is>
          <t>2026-10-11T14:41:47+00:00</t>
        </is>
      </c>
      <c r="G14" t="inlineStr">
        <is>
          <t>2026-10-11T14:51:47+00:00</t>
        </is>
      </c>
      <c r="H14" t="n">
        <v>644.29</v>
      </c>
      <c r="I14" t="n">
        <v>386573</v>
      </c>
      <c r="J14" t="n">
        <v>0.1281251425687558</v>
      </c>
      <c r="K14" t="n">
        <v>99.96583579340286</v>
      </c>
      <c r="L14" t="n">
        <v>19.99596862362154</v>
      </c>
      <c r="M14" t="n">
        <v>1.12</v>
      </c>
      <c r="N14" t="n">
        <v>0.003732590763291514</v>
      </c>
      <c r="O14" t="n">
        <v>21.3</v>
      </c>
      <c r="P14" t="n">
        <v>23</v>
      </c>
      <c r="Q14" t="inlineStr">
        <is>
          <t>em-hourly.csv</t>
        </is>
      </c>
      <c r="R14" t="n">
        <v>0.07950418325810925</v>
      </c>
      <c r="S14" t="n">
        <v>0.08584958755570482</v>
      </c>
      <c r="T14" t="n">
        <v>0.076</v>
      </c>
      <c r="U14" t="n">
        <v>0.4022634360343564</v>
      </c>
      <c r="V14" t="n">
        <v>0.4186779406624488</v>
      </c>
      <c r="W14" t="n">
        <v>0.196599348635316</v>
      </c>
      <c r="X14">
        <f>I14/1000000</f>
        <v/>
      </c>
      <c r="Y14">
        <f>N14/X14</f>
        <v/>
      </c>
      <c r="Z14">
        <f>1/X14</f>
        <v/>
      </c>
      <c r="AA14">
        <f>params!$B$2+(params!$B$3-params!$B$2)*K14/100</f>
        <v/>
      </c>
      <c r="AB14">
        <f>Y14*AA14/L14</f>
        <v/>
      </c>
    </row>
    <row r="15">
      <c r="A15" t="inlineStr">
        <is>
          <t>eu-north-1</t>
        </is>
      </c>
      <c r="B15" t="inlineStr">
        <is>
          <t>i-074edeef46628b873</t>
        </is>
      </c>
      <c r="C15" t="inlineStr">
        <is>
          <t>m5.large</t>
        </is>
      </c>
      <c r="D15" t="inlineStr">
        <is>
          <t>Intel(R) Xeon(R) Platinum 8259CL CPU @ 2.50GHz</t>
        </is>
      </c>
      <c r="E15" t="n">
        <v>4</v>
      </c>
      <c r="F15" t="inlineStr">
        <is>
          <t>2026-10-11T14:52:47+00:00</t>
        </is>
      </c>
      <c r="G15" t="inlineStr">
        <is>
          <t>2026-10-11T15:02:47+00:00</t>
        </is>
      </c>
      <c r="H15" t="n">
        <v>645.2</v>
      </c>
      <c r="I15" t="n">
        <v>387120</v>
      </c>
      <c r="J15" t="n">
        <v>0.1281251425687558</v>
      </c>
      <c r="K15" t="n">
        <v>99.87000052771145</v>
      </c>
      <c r="L15" t="n">
        <v>19.98466006226995</v>
      </c>
      <c r="M15" t="n">
        <v>1.12</v>
      </c>
      <c r="N15" t="n">
        <v>0.003730479826210067</v>
      </c>
      <c r="O15" t="n">
        <v>21.3</v>
      </c>
      <c r="P15" t="n">
        <v>23</v>
      </c>
      <c r="Q15" t="inlineStr">
        <is>
          <t>em-hourly.csv</t>
        </is>
      </c>
      <c r="R15" t="n">
        <v>0.07945922029827444</v>
      </c>
      <c r="S15" t="n">
        <v>0.08580103600283155</v>
      </c>
      <c r="T15" t="n">
        <v>0.076</v>
      </c>
      <c r="U15" t="n">
        <v>0.4015788910370801</v>
      </c>
      <c r="V15" t="n">
        <v>0.4179609320180604</v>
      </c>
      <c r="W15" t="n">
        <v>0.1963215540400909</v>
      </c>
      <c r="X15">
        <f>I15/1000000</f>
        <v/>
      </c>
      <c r="Y15">
        <f>N15/X15</f>
        <v/>
      </c>
      <c r="Z15">
        <f>1/X15</f>
        <v/>
      </c>
      <c r="AA15">
        <f>params!$B$2+(params!$B$3-params!$B$2)*K15/100</f>
        <v/>
      </c>
      <c r="AB15">
        <f>Y15*AA15/L15</f>
        <v/>
      </c>
    </row>
    <row r="16">
      <c r="A16" t="inlineStr">
        <is>
          <t>eu-north-1</t>
        </is>
      </c>
      <c r="B16" t="inlineStr">
        <is>
          <t>i-074edeef46628b873</t>
        </is>
      </c>
      <c r="C16" t="inlineStr">
        <is>
          <t>m5.large</t>
        </is>
      </c>
      <c r="D16" t="inlineStr">
        <is>
          <t>Intel(R) Xeon(R) Platinum 8259CL CPU @ 2.50GHz</t>
        </is>
      </c>
      <c r="E16" t="n">
        <v>5</v>
      </c>
      <c r="F16" t="inlineStr">
        <is>
          <t>2026-10-11T15:03:47+00:00</t>
        </is>
      </c>
      <c r="G16" t="inlineStr">
        <is>
          <t>2026-10-11T15:13:47+00:00</t>
        </is>
      </c>
      <c r="H16" t="n">
        <v>644.04</v>
      </c>
      <c r="I16" t="n">
        <v>386426</v>
      </c>
      <c r="J16" t="n">
        <v>0.1281251425687558</v>
      </c>
      <c r="K16" t="n">
        <v>99.96708408500085</v>
      </c>
      <c r="L16" t="n">
        <v>19.9961159220301</v>
      </c>
      <c r="M16" t="n">
        <v>1.12</v>
      </c>
      <c r="N16" t="n">
        <v>0.003732625724284378</v>
      </c>
      <c r="O16" t="n">
        <v>21.3</v>
      </c>
      <c r="P16" t="n">
        <v>23</v>
      </c>
      <c r="Q16" t="inlineStr">
        <is>
          <t>em-hourly.csv</t>
        </is>
      </c>
      <c r="R16" t="n">
        <v>0.07950492792725726</v>
      </c>
      <c r="S16" t="n">
        <v>0.08585039165854069</v>
      </c>
      <c r="T16" t="n">
        <v>0.076</v>
      </c>
      <c r="U16" t="n">
        <v>0.4024183878084219</v>
      </c>
      <c r="V16" t="n">
        <v>0.4188392904683968</v>
      </c>
      <c r="W16" t="n">
        <v>0.1966741368334429</v>
      </c>
      <c r="X16">
        <f>I16/1000000</f>
        <v/>
      </c>
      <c r="Y16">
        <f>N16/X16</f>
        <v/>
      </c>
      <c r="Z16">
        <f>1/X16</f>
        <v/>
      </c>
      <c r="AA16">
        <f>params!$B$2+(params!$B$3-params!$B$2)*K16/100</f>
        <v/>
      </c>
      <c r="AB16">
        <f>Y16*AA16/L16</f>
        <v/>
      </c>
    </row>
    <row r="17">
      <c r="A17" t="inlineStr">
        <is>
          <t>eu-north-1</t>
        </is>
      </c>
      <c r="B17" t="inlineStr">
        <is>
          <t>i-09a76251186d86661</t>
        </is>
      </c>
      <c r="C17" t="inlineStr">
        <is>
          <t>m5.large</t>
        </is>
      </c>
      <c r="D17" t="inlineStr">
        <is>
          <t>Intel(R) Xeon(R) Platinum 8259CL CPU @ 2.50GHz</t>
        </is>
      </c>
      <c r="E17" t="n">
        <v>1</v>
      </c>
      <c r="F17" t="inlineStr">
        <is>
          <t>2026-10-11T21:11:29+00:00</t>
        </is>
      </c>
      <c r="G17" t="inlineStr">
        <is>
          <t>2026-10-11T21:21:29+00:00</t>
        </is>
      </c>
      <c r="H17" t="n">
        <v>643.9400000000001</v>
      </c>
      <c r="I17" t="n">
        <v>386367</v>
      </c>
      <c r="J17" t="n">
        <v>0.1291628483209677</v>
      </c>
      <c r="K17" t="n">
        <v>99.95937442022019</v>
      </c>
      <c r="L17" t="n">
        <v>19.99520618158598</v>
      </c>
      <c r="M17" t="n">
        <v>1.12</v>
      </c>
      <c r="N17" t="n">
        <v>0.003732444707960195</v>
      </c>
      <c r="O17" t="n">
        <v>21.3</v>
      </c>
      <c r="P17" t="n">
        <v>22</v>
      </c>
      <c r="Q17" t="inlineStr">
        <is>
          <t>em-hourly.csv</t>
        </is>
      </c>
      <c r="R17" t="n">
        <v>0.07950107227955217</v>
      </c>
      <c r="S17" t="n">
        <v>0.08211378357512431</v>
      </c>
      <c r="T17" t="n">
        <v>0.076</v>
      </c>
      <c r="U17" t="n">
        <v>0.4024698596918271</v>
      </c>
      <c r="V17" t="n">
        <v>0.4092321124089901</v>
      </c>
      <c r="W17" t="n">
        <v>0.1967041698695799</v>
      </c>
      <c r="X17">
        <f>I17/1000000</f>
        <v/>
      </c>
      <c r="Y17">
        <f>N17/X17</f>
        <v/>
      </c>
      <c r="Z17">
        <f>1/X17</f>
        <v/>
      </c>
      <c r="AA17">
        <f>params!$B$2+(params!$B$3-params!$B$2)*K17/100</f>
        <v/>
      </c>
      <c r="AB17">
        <f>Y17*AA17/L17</f>
        <v/>
      </c>
    </row>
    <row r="18">
      <c r="A18" t="inlineStr">
        <is>
          <t>eu-north-1</t>
        </is>
      </c>
      <c r="B18" t="inlineStr">
        <is>
          <t>i-09a76251186d86661</t>
        </is>
      </c>
      <c r="C18" t="inlineStr">
        <is>
          <t>m5.large</t>
        </is>
      </c>
      <c r="D18" t="inlineStr">
        <is>
          <t>Intel(R) Xeon(R) Platinum 8259CL CPU @ 2.50GHz</t>
        </is>
      </c>
      <c r="E18" t="n">
        <v>2</v>
      </c>
      <c r="F18" t="inlineStr">
        <is>
          <t>2026-10-11T21:22:29+00:00</t>
        </is>
      </c>
      <c r="G18" t="inlineStr">
        <is>
          <t>2026-10-11T21:32:29+00:00</t>
        </is>
      </c>
      <c r="H18" t="n">
        <v>643.89</v>
      </c>
      <c r="I18" t="n">
        <v>386334</v>
      </c>
      <c r="J18" t="n">
        <v>0.1291628483209677</v>
      </c>
      <c r="K18" t="n">
        <v>99.95854426282591</v>
      </c>
      <c r="L18" t="n">
        <v>19.99510822301346</v>
      </c>
      <c r="M18" t="n">
        <v>1.12</v>
      </c>
      <c r="N18" t="n">
        <v>0.003732435131309985</v>
      </c>
      <c r="O18" t="n">
        <v>21.3</v>
      </c>
      <c r="P18" t="n">
        <v>22</v>
      </c>
      <c r="Q18" t="inlineStr">
        <is>
          <t>em-hourly.csv</t>
        </is>
      </c>
      <c r="R18" t="n">
        <v>0.07950086829690269</v>
      </c>
      <c r="S18" t="n">
        <v>0.08211357288881967</v>
      </c>
      <c r="T18" t="n">
        <v>0.076</v>
      </c>
      <c r="U18" t="n">
        <v>0.4025037099942089</v>
      </c>
      <c r="V18" t="n">
        <v>0.4092665229796488</v>
      </c>
      <c r="W18" t="n">
        <v>0.1967209720086764</v>
      </c>
      <c r="X18">
        <f>I18/1000000</f>
        <v/>
      </c>
      <c r="Y18">
        <f>N18/X18</f>
        <v/>
      </c>
      <c r="Z18">
        <f>1/X18</f>
        <v/>
      </c>
      <c r="AA18">
        <f>params!$B$2+(params!$B$3-params!$B$2)*K18/100</f>
        <v/>
      </c>
      <c r="AB18">
        <f>Y18*AA18/L18</f>
        <v/>
      </c>
    </row>
    <row r="19">
      <c r="A19" t="inlineStr">
        <is>
          <t>eu-north-1</t>
        </is>
      </c>
      <c r="B19" t="inlineStr">
        <is>
          <t>i-09a76251186d86661</t>
        </is>
      </c>
      <c r="C19" t="inlineStr">
        <is>
          <t>m5.large</t>
        </is>
      </c>
      <c r="D19" t="inlineStr">
        <is>
          <t>Intel(R) Xeon(R) Platinum 8259CL CPU @ 2.50GHz</t>
        </is>
      </c>
      <c r="E19" t="n">
        <v>3</v>
      </c>
      <c r="F19" t="inlineStr">
        <is>
          <t>2026-10-11T21:33:29+00:00</t>
        </is>
      </c>
      <c r="G19" t="inlineStr">
        <is>
          <t>2026-10-11T21:43:29+00:00</t>
        </is>
      </c>
      <c r="H19" t="n">
        <v>644.13</v>
      </c>
      <c r="I19" t="n">
        <v>386480</v>
      </c>
      <c r="J19" t="n">
        <v>0.1291628483209677</v>
      </c>
      <c r="K19" t="n">
        <v>99.95791541535442</v>
      </c>
      <c r="L19" t="n">
        <v>19.99503401901182</v>
      </c>
      <c r="M19" t="n">
        <v>1.12</v>
      </c>
      <c r="N19" t="n">
        <v>0.003732421901908667</v>
      </c>
      <c r="O19" t="n">
        <v>21.3</v>
      </c>
      <c r="P19" t="n">
        <v>22</v>
      </c>
      <c r="Q19" t="inlineStr">
        <is>
          <t>em-hourly.csv</t>
        </is>
      </c>
      <c r="R19" t="n">
        <v>0.07950058651065461</v>
      </c>
      <c r="S19" t="n">
        <v>0.08211328184199068</v>
      </c>
      <c r="T19" t="n">
        <v>0.076</v>
      </c>
      <c r="U19" t="n">
        <v>0.4023509276305491</v>
      </c>
      <c r="V19" t="n">
        <v>0.409111161876399</v>
      </c>
      <c r="W19" t="n">
        <v>0.1966466570068309</v>
      </c>
      <c r="X19">
        <f>I19/1000000</f>
        <v/>
      </c>
      <c r="Y19">
        <f>N19/X19</f>
        <v/>
      </c>
      <c r="Z19">
        <f>1/X19</f>
        <v/>
      </c>
      <c r="AA19">
        <f>params!$B$2+(params!$B$3-params!$B$2)*K19/100</f>
        <v/>
      </c>
      <c r="AB19">
        <f>Y19*AA19/L19</f>
        <v/>
      </c>
    </row>
    <row r="20">
      <c r="A20" t="inlineStr">
        <is>
          <t>eu-north-1</t>
        </is>
      </c>
      <c r="B20" t="inlineStr">
        <is>
          <t>i-09a76251186d86661</t>
        </is>
      </c>
      <c r="C20" t="inlineStr">
        <is>
          <t>m5.large</t>
        </is>
      </c>
      <c r="D20" t="inlineStr">
        <is>
          <t>Intel(R) Xeon(R) Platinum 8259CL CPU @ 2.50GHz</t>
        </is>
      </c>
      <c r="E20" t="n">
        <v>4</v>
      </c>
      <c r="F20" t="inlineStr">
        <is>
          <t>2026-10-11T21:44:29+00:00</t>
        </is>
      </c>
      <c r="G20" t="inlineStr">
        <is>
          <t>2026-10-11T21:54:29+00:00</t>
        </is>
      </c>
      <c r="H20" t="n">
        <v>644.17</v>
      </c>
      <c r="I20" t="n">
        <v>386505</v>
      </c>
      <c r="J20" t="n">
        <v>0.1291628483209677</v>
      </c>
      <c r="K20" t="n">
        <v>99.96062453136133</v>
      </c>
      <c r="L20" t="n">
        <v>19.99535369470064</v>
      </c>
      <c r="M20" t="n">
        <v>1.12</v>
      </c>
      <c r="N20" t="n">
        <v>0.00373248406326323</v>
      </c>
      <c r="O20" t="n">
        <v>21.3</v>
      </c>
      <c r="P20" t="n">
        <v>22</v>
      </c>
      <c r="Q20" t="inlineStr">
        <is>
          <t>em-hourly.csv</t>
        </is>
      </c>
      <c r="R20" t="n">
        <v>0.0795019105475068</v>
      </c>
      <c r="S20" t="n">
        <v>0.08211464939179106</v>
      </c>
      <c r="T20" t="n">
        <v>0.076</v>
      </c>
      <c r="U20" t="n">
        <v>0.402328328346352</v>
      </c>
      <c r="V20" t="n">
        <v>0.4090882379058254</v>
      </c>
      <c r="W20" t="n">
        <v>0.1966339374652333</v>
      </c>
      <c r="X20">
        <f>I20/1000000</f>
        <v/>
      </c>
      <c r="Y20">
        <f>N20/X20</f>
        <v/>
      </c>
      <c r="Z20">
        <f>1/X20</f>
        <v/>
      </c>
      <c r="AA20">
        <f>params!$B$2+(params!$B$3-params!$B$2)*K20/100</f>
        <v/>
      </c>
      <c r="AB20">
        <f>Y20*AA20/L20</f>
        <v/>
      </c>
    </row>
    <row r="21">
      <c r="A21" t="inlineStr">
        <is>
          <t>eu-north-1</t>
        </is>
      </c>
      <c r="B21" t="inlineStr">
        <is>
          <t>i-09a76251186d86661</t>
        </is>
      </c>
      <c r="C21" t="inlineStr">
        <is>
          <t>m5.large</t>
        </is>
      </c>
      <c r="D21" t="inlineStr">
        <is>
          <t>Intel(R) Xeon(R) Platinum 8259CL CPU @ 2.50GHz</t>
        </is>
      </c>
      <c r="E21" t="n">
        <v>5</v>
      </c>
      <c r="F21" t="inlineStr">
        <is>
          <t>2026-10-11T21:55:29+00:00</t>
        </is>
      </c>
      <c r="G21" t="inlineStr">
        <is>
          <t>2026-10-11T22:05:29+00:00</t>
        </is>
      </c>
      <c r="H21" t="n">
        <v>644.14</v>
      </c>
      <c r="I21" t="n">
        <v>386487</v>
      </c>
      <c r="J21" t="n">
        <v>0.1291628483209677</v>
      </c>
      <c r="K21" t="n">
        <v>99.95896058297004</v>
      </c>
      <c r="L21" t="n">
        <v>19.99515734879046</v>
      </c>
      <c r="M21" t="n">
        <v>1.12</v>
      </c>
      <c r="N21" t="n">
        <v>0.003732446789777955</v>
      </c>
      <c r="O21" t="n">
        <v>21.3</v>
      </c>
      <c r="P21" t="n">
        <v>22</v>
      </c>
      <c r="Q21" t="inlineStr">
        <is>
          <t>em-hourly.csv</t>
        </is>
      </c>
      <c r="R21" t="n">
        <v>0.07950111662227044</v>
      </c>
      <c r="S21" t="n">
        <v>0.08211382937511501</v>
      </c>
      <c r="T21" t="n">
        <v>0.076</v>
      </c>
      <c r="U21" t="n">
        <v>0.4023450119208937</v>
      </c>
      <c r="V21" t="n">
        <v>0.4091051688028705</v>
      </c>
      <c r="W21" t="n">
        <v>0.1966430953693138</v>
      </c>
      <c r="X21">
        <f>I21/1000000</f>
        <v/>
      </c>
      <c r="Y21">
        <f>N21/X21</f>
        <v/>
      </c>
      <c r="Z21">
        <f>1/X21</f>
        <v/>
      </c>
      <c r="AA21">
        <f>params!$B$2+(params!$B$3-params!$B$2)*K21/100</f>
        <v/>
      </c>
      <c r="AB21">
        <f>Y21*AA21/L21</f>
        <v/>
      </c>
    </row>
    <row r="22">
      <c r="A22" t="inlineStr">
        <is>
          <t>eu-west-1</t>
        </is>
      </c>
      <c r="B22" t="inlineStr">
        <is>
          <t>i-0326e9680b9e48646</t>
        </is>
      </c>
      <c r="C22" t="inlineStr">
        <is>
          <t>m5.large</t>
        </is>
      </c>
      <c r="D22" t="inlineStr">
        <is>
          <t>Intel(R) Xeon(R) Platinum 8175M CPU @ 2.50GHz</t>
        </is>
      </c>
      <c r="E22" t="n">
        <v>1</v>
      </c>
      <c r="F22" t="inlineStr">
        <is>
          <t>2026-10-11T14:19:42+00:00</t>
        </is>
      </c>
      <c r="G22" t="inlineStr">
        <is>
          <t>2026-10-11T14:29:42+00:00</t>
        </is>
      </c>
      <c r="H22" t="n">
        <v>642.59</v>
      </c>
      <c r="I22" t="n">
        <v>385558</v>
      </c>
      <c r="J22" t="n">
        <v>0.1468782127359456</v>
      </c>
      <c r="K22" t="n">
        <v>99.97166657579372</v>
      </c>
      <c r="L22" t="n">
        <v>19.99665665594366</v>
      </c>
      <c r="M22" t="n">
        <v>1.12</v>
      </c>
      <c r="N22" t="n">
        <v>0.003732721062688751</v>
      </c>
      <c r="O22" t="n">
        <v>301.2</v>
      </c>
      <c r="P22" t="n">
        <v>144</v>
      </c>
      <c r="Q22" t="inlineStr">
        <is>
          <t>em-hourly.csv</t>
        </is>
      </c>
      <c r="R22" t="n">
        <v>1.124295584081852</v>
      </c>
      <c r="S22" t="n">
        <v>0.5375118330271802</v>
      </c>
      <c r="T22" t="n">
        <v>0.076</v>
      </c>
      <c r="U22" t="n">
        <v>3.11313883794877</v>
      </c>
      <c r="V22" t="n">
        <v>1.591230976992256</v>
      </c>
      <c r="W22" t="n">
        <v>0.197116905887052</v>
      </c>
      <c r="X22">
        <f>I22/1000000</f>
        <v/>
      </c>
      <c r="Y22">
        <f>N22/X22</f>
        <v/>
      </c>
      <c r="Z22">
        <f>1/X22</f>
        <v/>
      </c>
      <c r="AA22">
        <f>params!$B$2+(params!$B$3-params!$B$2)*K22/100</f>
        <v/>
      </c>
      <c r="AB22">
        <f>Y22*AA22/L22</f>
        <v/>
      </c>
    </row>
    <row r="23">
      <c r="A23" t="inlineStr">
        <is>
          <t>eu-west-1</t>
        </is>
      </c>
      <c r="B23" t="inlineStr">
        <is>
          <t>i-0326e9680b9e48646</t>
        </is>
      </c>
      <c r="C23" t="inlineStr">
        <is>
          <t>m5.large</t>
        </is>
      </c>
      <c r="D23" t="inlineStr">
        <is>
          <t>Intel(R) Xeon(R) Platinum 8175M CPU @ 2.50GHz</t>
        </is>
      </c>
      <c r="E23" t="n">
        <v>2</v>
      </c>
      <c r="F23" t="inlineStr">
        <is>
          <t>2026-10-11T14:30:42+00:00</t>
        </is>
      </c>
      <c r="G23" t="inlineStr">
        <is>
          <t>2026-10-11T14:40:42+00:00</t>
        </is>
      </c>
      <c r="H23" t="n">
        <v>642.34</v>
      </c>
      <c r="I23" t="n">
        <v>385406</v>
      </c>
      <c r="J23" t="n">
        <v>0.1468782127359456</v>
      </c>
      <c r="K23" t="n">
        <v>99.97208287452111</v>
      </c>
      <c r="L23" t="n">
        <v>19.99670577919349</v>
      </c>
      <c r="M23" t="n">
        <v>1.12</v>
      </c>
      <c r="N23" t="n">
        <v>0.003732735209348974</v>
      </c>
      <c r="O23" t="n">
        <v>301.2</v>
      </c>
      <c r="P23" t="n">
        <v>144</v>
      </c>
      <c r="Q23" t="inlineStr">
        <is>
          <t>em-hourly.csv</t>
        </is>
      </c>
      <c r="R23" t="n">
        <v>1.124299845055911</v>
      </c>
      <c r="S23" t="n">
        <v>0.5375138701462522</v>
      </c>
      <c r="T23" t="n">
        <v>0.076</v>
      </c>
      <c r="U23" t="n">
        <v>3.114377682381464</v>
      </c>
      <c r="V23" t="n">
        <v>1.591863827097274</v>
      </c>
      <c r="W23" t="n">
        <v>0.1971946466842758</v>
      </c>
      <c r="X23">
        <f>I23/1000000</f>
        <v/>
      </c>
      <c r="Y23">
        <f>N23/X23</f>
        <v/>
      </c>
      <c r="Z23">
        <f>1/X23</f>
        <v/>
      </c>
      <c r="AA23">
        <f>params!$B$2+(params!$B$3-params!$B$2)*K23/100</f>
        <v/>
      </c>
      <c r="AB23">
        <f>Y23*AA23/L23</f>
        <v/>
      </c>
    </row>
    <row r="24">
      <c r="A24" t="inlineStr">
        <is>
          <t>eu-west-1</t>
        </is>
      </c>
      <c r="B24" t="inlineStr">
        <is>
          <t>i-0326e9680b9e48646</t>
        </is>
      </c>
      <c r="C24" t="inlineStr">
        <is>
          <t>m5.large</t>
        </is>
      </c>
      <c r="D24" t="inlineStr">
        <is>
          <t>Intel(R) Xeon(R) Platinum 8175M CPU @ 2.50GHz</t>
        </is>
      </c>
      <c r="E24" t="n">
        <v>3</v>
      </c>
      <c r="F24" t="inlineStr">
        <is>
          <t>2026-10-11T14:41:42+00:00</t>
        </is>
      </c>
      <c r="G24" t="inlineStr">
        <is>
          <t>2026-10-11T14:51:42+00:00</t>
        </is>
      </c>
      <c r="H24" t="n">
        <v>642.7</v>
      </c>
      <c r="I24" t="n">
        <v>385621</v>
      </c>
      <c r="J24" t="n">
        <v>0.1468782127359456</v>
      </c>
      <c r="K24" t="n">
        <v>99.97062462808928</v>
      </c>
      <c r="L24" t="n">
        <v>19.99653370611454</v>
      </c>
      <c r="M24" t="n">
        <v>1.12</v>
      </c>
      <c r="N24" t="n">
        <v>0.003732706821582652</v>
      </c>
      <c r="O24" t="n">
        <v>301.2</v>
      </c>
      <c r="P24" t="n">
        <v>144</v>
      </c>
      <c r="Q24" t="inlineStr">
        <is>
          <t>em-hourly.csv</t>
        </is>
      </c>
      <c r="R24" t="n">
        <v>1.124291294660695</v>
      </c>
      <c r="S24" t="n">
        <v>0.5375097823079019</v>
      </c>
      <c r="T24" t="n">
        <v>0.076</v>
      </c>
      <c r="U24" t="n">
        <v>3.112619112187082</v>
      </c>
      <c r="V24" t="n">
        <v>1.590965695094152</v>
      </c>
      <c r="W24" t="n">
        <v>0.197084702337269</v>
      </c>
      <c r="X24">
        <f>I24/1000000</f>
        <v/>
      </c>
      <c r="Y24">
        <f>N24/X24</f>
        <v/>
      </c>
      <c r="Z24">
        <f>1/X24</f>
        <v/>
      </c>
      <c r="AA24">
        <f>params!$B$2+(params!$B$3-params!$B$2)*K24/100</f>
        <v/>
      </c>
      <c r="AB24">
        <f>Y24*AA24/L24</f>
        <v/>
      </c>
    </row>
    <row r="25">
      <c r="A25" t="inlineStr">
        <is>
          <t>eu-west-1</t>
        </is>
      </c>
      <c r="B25" t="inlineStr">
        <is>
          <t>i-0326e9680b9e48646</t>
        </is>
      </c>
      <c r="C25" t="inlineStr">
        <is>
          <t>m5.large</t>
        </is>
      </c>
      <c r="D25" t="inlineStr">
        <is>
          <t>Intel(R) Xeon(R) Platinum 8175M CPU @ 2.50GHz</t>
        </is>
      </c>
      <c r="E25" t="n">
        <v>4</v>
      </c>
      <c r="F25" t="inlineStr">
        <is>
          <t>2026-10-11T14:52:42+00:00</t>
        </is>
      </c>
      <c r="G25" t="inlineStr">
        <is>
          <t>2026-10-11T15:02:42+00:00</t>
        </is>
      </c>
      <c r="H25" t="n">
        <v>642.5</v>
      </c>
      <c r="I25" t="n">
        <v>385505</v>
      </c>
      <c r="J25" t="n">
        <v>0.1468782127359456</v>
      </c>
      <c r="K25" t="n">
        <v>99.97083324243226</v>
      </c>
      <c r="L25" t="n">
        <v>19.99655832260701</v>
      </c>
      <c r="M25" t="n">
        <v>1.12</v>
      </c>
      <c r="N25" t="n">
        <v>0.003732711416686519</v>
      </c>
      <c r="O25" t="n">
        <v>301.2</v>
      </c>
      <c r="P25" t="n">
        <v>144</v>
      </c>
      <c r="Q25" t="inlineStr">
        <is>
          <t>em-hourly.csv</t>
        </is>
      </c>
      <c r="R25" t="n">
        <v>1.124292678705979</v>
      </c>
      <c r="S25" t="n">
        <v>0.5375104440028587</v>
      </c>
      <c r="T25" t="n">
        <v>0.076</v>
      </c>
      <c r="U25" t="n">
        <v>3.11355930197009</v>
      </c>
      <c r="V25" t="n">
        <v>1.5914461394868</v>
      </c>
      <c r="W25" t="n">
        <v>0.1971440059143202</v>
      </c>
      <c r="X25">
        <f>I25/1000000</f>
        <v/>
      </c>
      <c r="Y25">
        <f>N25/X25</f>
        <v/>
      </c>
      <c r="Z25">
        <f>1/X25</f>
        <v/>
      </c>
      <c r="AA25">
        <f>params!$B$2+(params!$B$3-params!$B$2)*K25/100</f>
        <v/>
      </c>
      <c r="AB25">
        <f>Y25*AA25/L25</f>
        <v/>
      </c>
    </row>
    <row r="26">
      <c r="A26" t="inlineStr">
        <is>
          <t>eu-west-1</t>
        </is>
      </c>
      <c r="B26" t="inlineStr">
        <is>
          <t>i-0326e9680b9e48646</t>
        </is>
      </c>
      <c r="C26" t="inlineStr">
        <is>
          <t>m5.large</t>
        </is>
      </c>
      <c r="D26" t="inlineStr">
        <is>
          <t>Intel(R) Xeon(R) Platinum 8175M CPU @ 2.50GHz</t>
        </is>
      </c>
      <c r="E26" t="n">
        <v>5</v>
      </c>
      <c r="F26" t="inlineStr">
        <is>
          <t>2026-10-11T15:03:42+00:00</t>
        </is>
      </c>
      <c r="G26" t="inlineStr">
        <is>
          <t>2026-10-11T15:13:42+00:00</t>
        </is>
      </c>
      <c r="H26" t="n">
        <v>642.7</v>
      </c>
      <c r="I26" t="n">
        <v>385625</v>
      </c>
      <c r="J26" t="n">
        <v>0.1468782127359456</v>
      </c>
      <c r="K26" t="n">
        <v>99.97145827026085</v>
      </c>
      <c r="L26" t="n">
        <v>19.99663207589078</v>
      </c>
      <c r="M26" t="n">
        <v>1.12</v>
      </c>
      <c r="N26" t="n">
        <v>0.00373272331768955</v>
      </c>
      <c r="O26" t="n">
        <v>301.2</v>
      </c>
      <c r="P26" t="n">
        <v>144</v>
      </c>
      <c r="Q26" t="inlineStr">
        <is>
          <t>em-hourly.csv</t>
        </is>
      </c>
      <c r="R26" t="n">
        <v>1.124296263288092</v>
      </c>
      <c r="S26" t="n">
        <v>0.5375121577472952</v>
      </c>
      <c r="T26" t="n">
        <v>0.076</v>
      </c>
      <c r="U26" t="n">
        <v>3.112599710309478</v>
      </c>
      <c r="V26" t="n">
        <v>1.590955352343067</v>
      </c>
      <c r="W26" t="n">
        <v>0.1970826580226904</v>
      </c>
      <c r="X26">
        <f>I26/1000000</f>
        <v/>
      </c>
      <c r="Y26">
        <f>N26/X26</f>
        <v/>
      </c>
      <c r="Z26">
        <f>1/X26</f>
        <v/>
      </c>
      <c r="AA26">
        <f>params!$B$2+(params!$B$3-params!$B$2)*K26/100</f>
        <v/>
      </c>
      <c r="AB26">
        <f>Y26*AA26/L26</f>
        <v/>
      </c>
    </row>
    <row r="27">
      <c r="A27" t="inlineStr">
        <is>
          <t>eu-west-1</t>
        </is>
      </c>
      <c r="B27" t="inlineStr">
        <is>
          <t>i-0c2b366eed6bfe9d5</t>
        </is>
      </c>
      <c r="C27" t="inlineStr">
        <is>
          <t>m5.large</t>
        </is>
      </c>
      <c r="D27" t="inlineStr">
        <is>
          <t>Intel(R) Xeon(R) Platinum 8259CL CPU @ 2.50GHz</t>
        </is>
      </c>
      <c r="E27" t="n">
        <v>1</v>
      </c>
      <c r="F27" t="inlineStr">
        <is>
          <t>2026-10-11T21:11:25+00:00</t>
        </is>
      </c>
      <c r="G27" t="inlineStr">
        <is>
          <t>2026-10-11T21:21:25+00:00</t>
        </is>
      </c>
      <c r="H27" t="n">
        <v>643.88</v>
      </c>
      <c r="I27" t="n">
        <v>386330</v>
      </c>
      <c r="J27" t="n">
        <v>0.1447846653701399</v>
      </c>
      <c r="K27" t="n">
        <v>99.94562496740474</v>
      </c>
      <c r="L27" t="n">
        <v>19.99358374615376</v>
      </c>
      <c r="M27" t="n">
        <v>1.12</v>
      </c>
      <c r="N27" t="n">
        <v>0.003732161135542192</v>
      </c>
      <c r="O27" t="n">
        <v>301.2</v>
      </c>
      <c r="P27" t="n">
        <v>250.5</v>
      </c>
      <c r="Q27" t="inlineStr">
        <is>
          <t>em-hourly.csv</t>
        </is>
      </c>
      <c r="R27" t="n">
        <v>1.124126934025308</v>
      </c>
      <c r="S27" t="n">
        <v>0.9349063644533191</v>
      </c>
      <c r="T27" t="n">
        <v>0.076</v>
      </c>
      <c r="U27" t="n">
        <v>3.106481334675816</v>
      </c>
      <c r="V27" t="n">
        <v>2.616691337595629</v>
      </c>
      <c r="W27" t="n">
        <v>0.1967230088266508</v>
      </c>
      <c r="X27">
        <f>I27/1000000</f>
        <v/>
      </c>
      <c r="Y27">
        <f>N27/X27</f>
        <v/>
      </c>
      <c r="Z27">
        <f>1/X27</f>
        <v/>
      </c>
      <c r="AA27">
        <f>params!$B$2+(params!$B$3-params!$B$2)*K27/100</f>
        <v/>
      </c>
      <c r="AB27">
        <f>Y27*AA27/L27</f>
        <v/>
      </c>
    </row>
    <row r="28">
      <c r="A28" t="inlineStr">
        <is>
          <t>eu-west-1</t>
        </is>
      </c>
      <c r="B28" t="inlineStr">
        <is>
          <t>i-0c2b366eed6bfe9d5</t>
        </is>
      </c>
      <c r="C28" t="inlineStr">
        <is>
          <t>m5.large</t>
        </is>
      </c>
      <c r="D28" t="inlineStr">
        <is>
          <t>Intel(R) Xeon(R) Platinum 8259CL CPU @ 2.50GHz</t>
        </is>
      </c>
      <c r="E28" t="n">
        <v>2</v>
      </c>
      <c r="F28" t="inlineStr">
        <is>
          <t>2026-10-11T21:22:25+00:00</t>
        </is>
      </c>
      <c r="G28" t="inlineStr">
        <is>
          <t>2026-10-11T21:32:25+00:00</t>
        </is>
      </c>
      <c r="H28" t="n">
        <v>643.74</v>
      </c>
      <c r="I28" t="n">
        <v>386245</v>
      </c>
      <c r="J28" t="n">
        <v>0.1447846653701399</v>
      </c>
      <c r="K28" t="n">
        <v>99.9468750103504</v>
      </c>
      <c r="L28" t="n">
        <v>19.99373125122135</v>
      </c>
      <c r="M28" t="n">
        <v>1.12</v>
      </c>
      <c r="N28" t="n">
        <v>0.003732188047982431</v>
      </c>
      <c r="O28" t="n">
        <v>301.2</v>
      </c>
      <c r="P28" t="n">
        <v>250.5</v>
      </c>
      <c r="Q28" t="inlineStr">
        <is>
          <t>em-hourly.csv</t>
        </is>
      </c>
      <c r="R28" t="n">
        <v>1.124135040052308</v>
      </c>
      <c r="S28" t="n">
        <v>0.9349131060195991</v>
      </c>
      <c r="T28" t="n">
        <v>0.076</v>
      </c>
      <c r="U28" t="n">
        <v>3.107185957235196</v>
      </c>
      <c r="V28" t="n">
        <v>2.617284640628614</v>
      </c>
      <c r="W28" t="n">
        <v>0.1967663011818923</v>
      </c>
      <c r="X28">
        <f>I28/1000000</f>
        <v/>
      </c>
      <c r="Y28">
        <f>N28/X28</f>
        <v/>
      </c>
      <c r="Z28">
        <f>1/X28</f>
        <v/>
      </c>
      <c r="AA28">
        <f>params!$B$2+(params!$B$3-params!$B$2)*K28/100</f>
        <v/>
      </c>
      <c r="AB28">
        <f>Y28*AA28/L28</f>
        <v/>
      </c>
    </row>
    <row r="29">
      <c r="A29" t="inlineStr">
        <is>
          <t>eu-west-1</t>
        </is>
      </c>
      <c r="B29" t="inlineStr">
        <is>
          <t>i-0c2b366eed6bfe9d5</t>
        </is>
      </c>
      <c r="C29" t="inlineStr">
        <is>
          <t>m5.large</t>
        </is>
      </c>
      <c r="D29" t="inlineStr">
        <is>
          <t>Intel(R) Xeon(R) Platinum 8259CL CPU @ 2.50GHz</t>
        </is>
      </c>
      <c r="E29" t="n">
        <v>3</v>
      </c>
      <c r="F29" t="inlineStr">
        <is>
          <t>2026-10-11T21:33:25+00:00</t>
        </is>
      </c>
      <c r="G29" t="inlineStr">
        <is>
          <t>2026-10-11T21:43:25+00:00</t>
        </is>
      </c>
      <c r="H29" t="n">
        <v>644.09</v>
      </c>
      <c r="I29" t="n">
        <v>386456</v>
      </c>
      <c r="J29" t="n">
        <v>0.1447846653701399</v>
      </c>
      <c r="K29" t="n">
        <v>99.94666285825583</v>
      </c>
      <c r="L29" t="n">
        <v>19.99370621727419</v>
      </c>
      <c r="M29" t="n">
        <v>1.12</v>
      </c>
      <c r="N29" t="n">
        <v>0.003732177154683652</v>
      </c>
      <c r="O29" t="n">
        <v>301.2</v>
      </c>
      <c r="P29" t="n">
        <v>250.5</v>
      </c>
      <c r="Q29" t="inlineStr">
        <is>
          <t>em-hourly.csv</t>
        </is>
      </c>
      <c r="R29" t="n">
        <v>1.124131758990716</v>
      </c>
      <c r="S29" t="n">
        <v>0.9349103772482548</v>
      </c>
      <c r="T29" t="n">
        <v>0.076</v>
      </c>
      <c r="U29" t="n">
        <v>3.105480983580837</v>
      </c>
      <c r="V29" t="n">
        <v>2.615848575900632</v>
      </c>
      <c r="W29" t="n">
        <v>0.1966588693150061</v>
      </c>
      <c r="X29">
        <f>I29/1000000</f>
        <v/>
      </c>
      <c r="Y29">
        <f>N29/X29</f>
        <v/>
      </c>
      <c r="Z29">
        <f>1/X29</f>
        <v/>
      </c>
      <c r="AA29">
        <f>params!$B$2+(params!$B$3-params!$B$2)*K29/100</f>
        <v/>
      </c>
      <c r="AB29">
        <f>Y29*AA29/L29</f>
        <v/>
      </c>
    </row>
    <row r="30">
      <c r="A30" t="inlineStr">
        <is>
          <t>eu-west-1</t>
        </is>
      </c>
      <c r="B30" t="inlineStr">
        <is>
          <t>i-0c2b366eed6bfe9d5</t>
        </is>
      </c>
      <c r="C30" t="inlineStr">
        <is>
          <t>m5.large</t>
        </is>
      </c>
      <c r="D30" t="inlineStr">
        <is>
          <t>Intel(R) Xeon(R) Platinum 8259CL CPU @ 2.50GHz</t>
        </is>
      </c>
      <c r="E30" t="n">
        <v>4</v>
      </c>
      <c r="F30" t="inlineStr">
        <is>
          <t>2026-10-11T21:44:25+00:00</t>
        </is>
      </c>
      <c r="G30" t="inlineStr">
        <is>
          <t>2026-10-11T21:54:25+00:00</t>
        </is>
      </c>
      <c r="H30" t="n">
        <v>643.98</v>
      </c>
      <c r="I30" t="n">
        <v>386393</v>
      </c>
      <c r="J30" t="n">
        <v>0.1447846653701399</v>
      </c>
      <c r="K30" t="n">
        <v>99.94646047287905</v>
      </c>
      <c r="L30" t="n">
        <v>19.99368233579973</v>
      </c>
      <c r="M30" t="n">
        <v>1.12</v>
      </c>
      <c r="N30" t="n">
        <v>0.003732168342606422</v>
      </c>
      <c r="O30" t="n">
        <v>301.2</v>
      </c>
      <c r="P30" t="n">
        <v>250.5</v>
      </c>
      <c r="Q30" t="inlineStr">
        <is>
          <t>em-hourly.csv</t>
        </is>
      </c>
      <c r="R30" t="n">
        <v>1.124129104793054</v>
      </c>
      <c r="S30" t="n">
        <v>0.9349081698229086</v>
      </c>
      <c r="T30" t="n">
        <v>0.076</v>
      </c>
      <c r="U30" t="n">
        <v>3.105980452008847</v>
      </c>
      <c r="V30" t="n">
        <v>2.616269367775577</v>
      </c>
      <c r="W30" t="n">
        <v>0.1966909338419692</v>
      </c>
      <c r="X30">
        <f>I30/1000000</f>
        <v/>
      </c>
      <c r="Y30">
        <f>N30/X30</f>
        <v/>
      </c>
      <c r="Z30">
        <f>1/X30</f>
        <v/>
      </c>
      <c r="AA30">
        <f>params!$B$2+(params!$B$3-params!$B$2)*K30/100</f>
        <v/>
      </c>
      <c r="AB30">
        <f>Y30*AA30/L30</f>
        <v/>
      </c>
    </row>
    <row r="31">
      <c r="A31" t="inlineStr">
        <is>
          <t>eu-west-1</t>
        </is>
      </c>
      <c r="B31" t="inlineStr">
        <is>
          <t>i-0c2b366eed6bfe9d5</t>
        </is>
      </c>
      <c r="C31" t="inlineStr">
        <is>
          <t>m5.large</t>
        </is>
      </c>
      <c r="D31" t="inlineStr">
        <is>
          <t>Intel(R) Xeon(R) Platinum 8259CL CPU @ 2.50GHz</t>
        </is>
      </c>
      <c r="E31" t="n">
        <v>5</v>
      </c>
      <c r="F31" t="inlineStr">
        <is>
          <t>2026-10-11T21:55:25+00:00</t>
        </is>
      </c>
      <c r="G31" t="inlineStr">
        <is>
          <t>2026-10-11T22:05:25+00:00</t>
        </is>
      </c>
      <c r="H31" t="n">
        <v>641.85</v>
      </c>
      <c r="I31" t="n">
        <v>385110</v>
      </c>
      <c r="J31" t="n">
        <v>0.1447846653701399</v>
      </c>
      <c r="K31" t="n">
        <v>99.94583329091411</v>
      </c>
      <c r="L31" t="n">
        <v>19.99360832832787</v>
      </c>
      <c r="M31" t="n">
        <v>1.12</v>
      </c>
      <c r="N31" t="n">
        <v>0.003732160126035715</v>
      </c>
      <c r="O31" t="n">
        <v>301.2</v>
      </c>
      <c r="P31" t="n">
        <v>250.5</v>
      </c>
      <c r="Q31" t="inlineStr">
        <is>
          <t>em-hourly.csv</t>
        </is>
      </c>
      <c r="R31" t="n">
        <v>1.124126629961957</v>
      </c>
      <c r="S31" t="n">
        <v>0.9349061115719467</v>
      </c>
      <c r="T31" t="n">
        <v>0.076</v>
      </c>
      <c r="U31" t="n">
        <v>3.116321648261425</v>
      </c>
      <c r="V31" t="n">
        <v>2.624980165594107</v>
      </c>
      <c r="W31" t="n">
        <v>0.1973462127703773</v>
      </c>
      <c r="X31">
        <f>I31/1000000</f>
        <v/>
      </c>
      <c r="Y31">
        <f>N31/X31</f>
        <v/>
      </c>
      <c r="Z31">
        <f>1/X31</f>
        <v/>
      </c>
      <c r="AA31">
        <f>params!$B$2+(params!$B$3-params!$B$2)*K31/100</f>
        <v/>
      </c>
      <c r="AB31">
        <f>Y31*AA31/L31</f>
        <v/>
      </c>
    </row>
    <row r="32">
      <c r="A32" t="inlineStr">
        <is>
          <t>us-east-1</t>
        </is>
      </c>
      <c r="B32" t="inlineStr">
        <is>
          <t>i-0919e3780137b3626</t>
        </is>
      </c>
      <c r="C32" t="inlineStr">
        <is>
          <t>m5.large</t>
        </is>
      </c>
      <c r="D32" t="inlineStr">
        <is>
          <t>Intel(R) Xeon(R) Platinum 8259CL CPU @ 2.50GHz</t>
        </is>
      </c>
      <c r="E32" t="n">
        <v>1</v>
      </c>
      <c r="F32" t="inlineStr">
        <is>
          <t>2026-10-11T14:19:38+00:00</t>
        </is>
      </c>
      <c r="G32" t="inlineStr">
        <is>
          <t>2026-10-11T14:29:38+00:00</t>
        </is>
      </c>
      <c r="H32" t="n">
        <v>643.67</v>
      </c>
      <c r="I32" t="n">
        <v>386207</v>
      </c>
      <c r="J32" t="n">
        <v>0.1625</v>
      </c>
      <c r="K32" t="n">
        <v>99.93333333333332</v>
      </c>
      <c r="L32" t="n">
        <v>19.99213333333333</v>
      </c>
      <c r="M32" t="n">
        <v>1.14</v>
      </c>
      <c r="N32" t="n">
        <v>0.003798526858196889</v>
      </c>
      <c r="O32" t="n">
        <v>343</v>
      </c>
      <c r="P32" t="n">
        <v>416</v>
      </c>
      <c r="Q32" t="inlineStr">
        <is>
          <t>em-hourly.csv</t>
        </is>
      </c>
      <c r="R32" t="n">
        <v>1.302894712361533</v>
      </c>
      <c r="S32" t="n">
        <v>1.580187173009906</v>
      </c>
      <c r="T32" t="n">
        <v>0.076</v>
      </c>
      <c r="U32" t="n">
        <v>3.570351423877695</v>
      </c>
      <c r="V32" t="n">
        <v>4.28834063859512</v>
      </c>
      <c r="W32" t="n">
        <v>0.1967856615752692</v>
      </c>
      <c r="X32">
        <f>I32/1000000</f>
        <v/>
      </c>
      <c r="Y32">
        <f>N32/X32</f>
        <v/>
      </c>
      <c r="Z32">
        <f>1/X32</f>
        <v/>
      </c>
      <c r="AA32">
        <f>params!$B$2+(params!$B$3-params!$B$2)*K32/100</f>
        <v/>
      </c>
      <c r="AB32">
        <f>Y32*AA32/L32</f>
        <v/>
      </c>
    </row>
    <row r="33">
      <c r="A33" t="inlineStr">
        <is>
          <t>us-east-1</t>
        </is>
      </c>
      <c r="B33" t="inlineStr">
        <is>
          <t>i-0919e3780137b3626</t>
        </is>
      </c>
      <c r="C33" t="inlineStr">
        <is>
          <t>m5.large</t>
        </is>
      </c>
      <c r="D33" t="inlineStr">
        <is>
          <t>Intel(R) Xeon(R) Platinum 8259CL CPU @ 2.50GHz</t>
        </is>
      </c>
      <c r="E33" t="n">
        <v>2</v>
      </c>
      <c r="F33" t="inlineStr">
        <is>
          <t>2026-10-11T14:30:38+00:00</t>
        </is>
      </c>
      <c r="G33" t="inlineStr">
        <is>
          <t>2026-10-11T14:40:38+00:00</t>
        </is>
      </c>
      <c r="H33" t="n">
        <v>643.62</v>
      </c>
      <c r="I33" t="n">
        <v>386175</v>
      </c>
      <c r="J33" t="n">
        <v>0.1625</v>
      </c>
      <c r="K33" t="n">
        <v>99.93333333333332</v>
      </c>
      <c r="L33" t="n">
        <v>19.99213333333333</v>
      </c>
      <c r="M33" t="n">
        <v>1.14</v>
      </c>
      <c r="N33" t="n">
        <v>0.003798519261186222</v>
      </c>
      <c r="O33" t="n">
        <v>343</v>
      </c>
      <c r="P33" t="n">
        <v>416</v>
      </c>
      <c r="Q33" t="inlineStr">
        <is>
          <t>em-hourly.csv</t>
        </is>
      </c>
      <c r="R33" t="n">
        <v>1.302892106586874</v>
      </c>
      <c r="S33" t="n">
        <v>1.580184012653469</v>
      </c>
      <c r="T33" t="n">
        <v>0.076</v>
      </c>
      <c r="U33" t="n">
        <v>3.570640529777625</v>
      </c>
      <c r="V33" t="n">
        <v>4.288687803854389</v>
      </c>
      <c r="W33" t="n">
        <v>0.1968019680196802</v>
      </c>
      <c r="X33">
        <f>I33/1000000</f>
        <v/>
      </c>
      <c r="Y33">
        <f>N33/X33</f>
        <v/>
      </c>
      <c r="Z33">
        <f>1/X33</f>
        <v/>
      </c>
      <c r="AA33">
        <f>params!$B$2+(params!$B$3-params!$B$2)*K33/100</f>
        <v/>
      </c>
      <c r="AB33">
        <f>Y33*AA33/L33</f>
        <v/>
      </c>
    </row>
    <row r="34">
      <c r="A34" t="inlineStr">
        <is>
          <t>us-east-1</t>
        </is>
      </c>
      <c r="B34" t="inlineStr">
        <is>
          <t>i-0919e3780137b3626</t>
        </is>
      </c>
      <c r="C34" t="inlineStr">
        <is>
          <t>m5.large</t>
        </is>
      </c>
      <c r="D34" t="inlineStr">
        <is>
          <t>Intel(R) Xeon(R) Platinum 8259CL CPU @ 2.50GHz</t>
        </is>
      </c>
      <c r="E34" t="n">
        <v>3</v>
      </c>
      <c r="F34" t="inlineStr">
        <is>
          <t>2026-10-11T14:41:38+00:00</t>
        </is>
      </c>
      <c r="G34" t="inlineStr">
        <is>
          <t>2026-10-11T14:51:38+00:00</t>
        </is>
      </c>
      <c r="H34" t="n">
        <v>643.92</v>
      </c>
      <c r="I34" t="n">
        <v>386353</v>
      </c>
      <c r="J34" t="n">
        <v>0.1625</v>
      </c>
      <c r="K34" t="n">
        <v>99.94166666666666</v>
      </c>
      <c r="L34" t="n">
        <v>19.99311666666667</v>
      </c>
      <c r="M34" t="n">
        <v>1.14</v>
      </c>
      <c r="N34" t="n">
        <v>0.003798708627666055</v>
      </c>
      <c r="O34" t="n">
        <v>343</v>
      </c>
      <c r="P34" t="n">
        <v>416</v>
      </c>
      <c r="Q34" t="inlineStr">
        <is>
          <t>em-hourly.csv</t>
        </is>
      </c>
      <c r="R34" t="n">
        <v>1.302957059289457</v>
      </c>
      <c r="S34" t="n">
        <v>1.580262789109079</v>
      </c>
      <c r="T34" t="n">
        <v>0.076</v>
      </c>
      <c r="U34" t="n">
        <v>3.569163586899693</v>
      </c>
      <c r="V34" t="n">
        <v>4.286915823376754</v>
      </c>
      <c r="W34" t="n">
        <v>0.1967112976992543</v>
      </c>
      <c r="X34">
        <f>I34/1000000</f>
        <v/>
      </c>
      <c r="Y34">
        <f>N34/X34</f>
        <v/>
      </c>
      <c r="Z34">
        <f>1/X34</f>
        <v/>
      </c>
      <c r="AA34">
        <f>params!$B$2+(params!$B$3-params!$B$2)*K34/100</f>
        <v/>
      </c>
      <c r="AB34">
        <f>Y34*AA34/L34</f>
        <v/>
      </c>
    </row>
    <row r="35">
      <c r="A35" t="inlineStr">
        <is>
          <t>us-east-1</t>
        </is>
      </c>
      <c r="B35" t="inlineStr">
        <is>
          <t>i-0919e3780137b3626</t>
        </is>
      </c>
      <c r="C35" t="inlineStr">
        <is>
          <t>m5.large</t>
        </is>
      </c>
      <c r="D35" t="inlineStr">
        <is>
          <t>Intel(R) Xeon(R) Platinum 8259CL CPU @ 2.50GHz</t>
        </is>
      </c>
      <c r="E35" t="n">
        <v>4</v>
      </c>
      <c r="F35" t="inlineStr">
        <is>
          <t>2026-10-11T14:52:38+00:00</t>
        </is>
      </c>
      <c r="G35" t="inlineStr">
        <is>
          <t>2026-10-11T15:02:38+00:00</t>
        </is>
      </c>
      <c r="H35" t="n">
        <v>643.63</v>
      </c>
      <c r="I35" t="n">
        <v>386179</v>
      </c>
      <c r="J35" t="n">
        <v>0.1625</v>
      </c>
      <c r="K35" t="n">
        <v>99.93645833333332</v>
      </c>
      <c r="L35" t="n">
        <v>19.99250208333333</v>
      </c>
      <c r="M35" t="n">
        <v>1.14</v>
      </c>
      <c r="N35" t="n">
        <v>0.003798589323943118</v>
      </c>
      <c r="O35" t="n">
        <v>343</v>
      </c>
      <c r="P35" t="n">
        <v>416</v>
      </c>
      <c r="Q35" t="inlineStr">
        <is>
          <t>em-hourly.csv</t>
        </is>
      </c>
      <c r="R35" t="n">
        <v>1.302916138112489</v>
      </c>
      <c r="S35" t="n">
        <v>1.580213158760337</v>
      </c>
      <c r="T35" t="n">
        <v>0.076</v>
      </c>
      <c r="U35" t="n">
        <v>3.570665774453011</v>
      </c>
      <c r="V35" t="n">
        <v>4.288718855143177</v>
      </c>
      <c r="W35" t="n">
        <v>0.196799929566341</v>
      </c>
      <c r="X35">
        <f>I35/1000000</f>
        <v/>
      </c>
      <c r="Y35">
        <f>N35/X35</f>
        <v/>
      </c>
      <c r="Z35">
        <f>1/X35</f>
        <v/>
      </c>
      <c r="AA35">
        <f>params!$B$2+(params!$B$3-params!$B$2)*K35/100</f>
        <v/>
      </c>
      <c r="AB35">
        <f>Y35*AA35/L35</f>
        <v/>
      </c>
    </row>
    <row r="36">
      <c r="A36" t="inlineStr">
        <is>
          <t>us-east-1</t>
        </is>
      </c>
      <c r="B36" t="inlineStr">
        <is>
          <t>i-0919e3780137b3626</t>
        </is>
      </c>
      <c r="C36" t="inlineStr">
        <is>
          <t>m5.large</t>
        </is>
      </c>
      <c r="D36" t="inlineStr">
        <is>
          <t>Intel(R) Xeon(R) Platinum 8259CL CPU @ 2.50GHz</t>
        </is>
      </c>
      <c r="E36" t="n">
        <v>5</v>
      </c>
      <c r="F36" t="inlineStr">
        <is>
          <t>2026-10-11T15:03:38+00:00</t>
        </is>
      </c>
      <c r="G36" t="inlineStr">
        <is>
          <t>2026-10-11T15:13:38+00:00</t>
        </is>
      </c>
      <c r="H36" t="n">
        <v>641.75</v>
      </c>
      <c r="I36" t="n">
        <v>385054</v>
      </c>
      <c r="J36" t="n">
        <v>0.1625</v>
      </c>
      <c r="K36" t="n">
        <v>99.92812499999999</v>
      </c>
      <c r="L36" t="n">
        <v>19.99151875</v>
      </c>
      <c r="M36" t="n">
        <v>1.14</v>
      </c>
      <c r="N36" t="n">
        <v>0.003798398691536167</v>
      </c>
      <c r="O36" t="n">
        <v>343</v>
      </c>
      <c r="P36" t="n">
        <v>416</v>
      </c>
      <c r="Q36" t="inlineStr">
        <is>
          <t>em-hourly.csv</t>
        </is>
      </c>
      <c r="R36" t="n">
        <v>1.302850751196905</v>
      </c>
      <c r="S36" t="n">
        <v>1.580133855679045</v>
      </c>
      <c r="T36" t="n">
        <v>0.076</v>
      </c>
      <c r="U36" t="n">
        <v>3.580928262521374</v>
      </c>
      <c r="V36" t="n">
        <v>4.301043115196948</v>
      </c>
      <c r="W36" t="n">
        <v>0.1973749136484753</v>
      </c>
      <c r="X36">
        <f>I36/1000000</f>
        <v/>
      </c>
      <c r="Y36">
        <f>N36/X36</f>
        <v/>
      </c>
      <c r="Z36">
        <f>1/X36</f>
        <v/>
      </c>
      <c r="AA36">
        <f>params!$B$2+(params!$B$3-params!$B$2)*K36/100</f>
        <v/>
      </c>
      <c r="AB36">
        <f>Y36*AA36/L36</f>
        <v/>
      </c>
    </row>
    <row r="37">
      <c r="A37" t="inlineStr">
        <is>
          <t>us-east-1</t>
        </is>
      </c>
      <c r="B37" t="inlineStr">
        <is>
          <t>i-0c2632bdc5c123cab</t>
        </is>
      </c>
      <c r="C37" t="inlineStr">
        <is>
          <t>m5.large</t>
        </is>
      </c>
      <c r="D37" t="inlineStr">
        <is>
          <t>Intel(R) Xeon(R) Platinum 8259CL CPU @ 2.50GHz</t>
        </is>
      </c>
      <c r="E37" t="n">
        <v>1</v>
      </c>
      <c r="F37" t="inlineStr">
        <is>
          <t>2026-10-11T21:11:21+00:00</t>
        </is>
      </c>
      <c r="G37" t="inlineStr">
        <is>
          <t>2026-10-11T21:21:21+00:00</t>
        </is>
      </c>
      <c r="H37" t="n">
        <v>643.83</v>
      </c>
      <c r="I37" t="n">
        <v>386299</v>
      </c>
      <c r="J37" t="n">
        <v>0.1385416666666666</v>
      </c>
      <c r="K37" t="n">
        <v>99.95208333333333</v>
      </c>
      <c r="L37" t="n">
        <v>19.99434583333333</v>
      </c>
      <c r="M37" t="n">
        <v>1.14</v>
      </c>
      <c r="N37" t="n">
        <v>0.003798948501887583</v>
      </c>
      <c r="O37" t="n">
        <v>343</v>
      </c>
      <c r="P37" t="n">
        <v>445.5</v>
      </c>
      <c r="Q37" t="inlineStr">
        <is>
          <t>em-hourly.csv</t>
        </is>
      </c>
      <c r="R37" t="n">
        <v>1.303039336147441</v>
      </c>
      <c r="S37" t="n">
        <v>1.692431557590918</v>
      </c>
      <c r="T37" t="n">
        <v>0.076</v>
      </c>
      <c r="U37" t="n">
        <v>3.569875500965421</v>
      </c>
      <c r="V37" t="n">
        <v>4.577882825456236</v>
      </c>
      <c r="W37" t="n">
        <v>0.1967387955961574</v>
      </c>
      <c r="X37">
        <f>I37/1000000</f>
        <v/>
      </c>
      <c r="Y37">
        <f>N37/X37</f>
        <v/>
      </c>
      <c r="Z37">
        <f>1/X37</f>
        <v/>
      </c>
      <c r="AA37">
        <f>params!$B$2+(params!$B$3-params!$B$2)*K37/100</f>
        <v/>
      </c>
      <c r="AB37">
        <f>Y37*AA37/L37</f>
        <v/>
      </c>
    </row>
    <row r="38">
      <c r="A38" t="inlineStr">
        <is>
          <t>us-east-1</t>
        </is>
      </c>
      <c r="B38" t="inlineStr">
        <is>
          <t>i-0c2632bdc5c123cab</t>
        </is>
      </c>
      <c r="C38" t="inlineStr">
        <is>
          <t>m5.large</t>
        </is>
      </c>
      <c r="D38" t="inlineStr">
        <is>
          <t>Intel(R) Xeon(R) Platinum 8259CL CPU @ 2.50GHz</t>
        </is>
      </c>
      <c r="E38" t="n">
        <v>2</v>
      </c>
      <c r="F38" t="inlineStr">
        <is>
          <t>2026-10-11T21:22:21+00:00</t>
        </is>
      </c>
      <c r="G38" t="inlineStr">
        <is>
          <t>2026-10-11T21:32:21+00:00</t>
        </is>
      </c>
      <c r="H38" t="n">
        <v>643.5599999999999</v>
      </c>
      <c r="I38" t="n">
        <v>386142</v>
      </c>
      <c r="J38" t="n">
        <v>0.1385416666666666</v>
      </c>
      <c r="K38" t="n">
        <v>99.95729166666666</v>
      </c>
      <c r="L38" t="n">
        <v>19.99496041666666</v>
      </c>
      <c r="M38" t="n">
        <v>1.14</v>
      </c>
      <c r="N38" t="n">
        <v>0.003799064007074048</v>
      </c>
      <c r="O38" t="n">
        <v>343</v>
      </c>
      <c r="P38" t="n">
        <v>445.5</v>
      </c>
      <c r="Q38" t="inlineStr">
        <is>
          <t>em-hourly.csv</t>
        </is>
      </c>
      <c r="R38" t="n">
        <v>1.303078954426399</v>
      </c>
      <c r="S38" t="n">
        <v>1.692483015151488</v>
      </c>
      <c r="T38" t="n">
        <v>0.076</v>
      </c>
      <c r="U38" t="n">
        <v>3.571429563286042</v>
      </c>
      <c r="V38" t="n">
        <v>4.579877390057255</v>
      </c>
      <c r="W38" t="n">
        <v>0.196818786871151</v>
      </c>
      <c r="X38">
        <f>I38/1000000</f>
        <v/>
      </c>
      <c r="Y38">
        <f>N38/X38</f>
        <v/>
      </c>
      <c r="Z38">
        <f>1/X38</f>
        <v/>
      </c>
      <c r="AA38">
        <f>params!$B$2+(params!$B$3-params!$B$2)*K38/100</f>
        <v/>
      </c>
      <c r="AB38">
        <f>Y38*AA38/L38</f>
        <v/>
      </c>
    </row>
    <row r="39">
      <c r="A39" t="inlineStr">
        <is>
          <t>us-east-1</t>
        </is>
      </c>
      <c r="B39" t="inlineStr">
        <is>
          <t>i-0c2632bdc5c123cab</t>
        </is>
      </c>
      <c r="C39" t="inlineStr">
        <is>
          <t>m5.large</t>
        </is>
      </c>
      <c r="D39" t="inlineStr">
        <is>
          <t>Intel(R) Xeon(R) Platinum 8259CL CPU @ 2.50GHz</t>
        </is>
      </c>
      <c r="E39" t="n">
        <v>3</v>
      </c>
      <c r="F39" t="inlineStr">
        <is>
          <t>2026-10-11T21:33:21+00:00</t>
        </is>
      </c>
      <c r="G39" t="inlineStr">
        <is>
          <t>2026-10-11T21:43:21+00:00</t>
        </is>
      </c>
      <c r="H39" t="n">
        <v>644.39</v>
      </c>
      <c r="I39" t="n">
        <v>386639</v>
      </c>
      <c r="J39" t="n">
        <v>0.1385416666666666</v>
      </c>
      <c r="K39" t="n">
        <v>99.95625</v>
      </c>
      <c r="L39" t="n">
        <v>19.9948375</v>
      </c>
      <c r="M39" t="n">
        <v>1.14</v>
      </c>
      <c r="N39" t="n">
        <v>0.003799046984473583</v>
      </c>
      <c r="O39" t="n">
        <v>343</v>
      </c>
      <c r="P39" t="n">
        <v>445.5</v>
      </c>
      <c r="Q39" t="inlineStr">
        <is>
          <t>em-hourly.csv</t>
        </is>
      </c>
      <c r="R39" t="n">
        <v>1.303073115674439</v>
      </c>
      <c r="S39" t="n">
        <v>1.692475431582981</v>
      </c>
      <c r="T39" t="n">
        <v>0.076</v>
      </c>
      <c r="U39" t="n">
        <v>3.566823614985656</v>
      </c>
      <c r="V39" t="n">
        <v>4.573970633027142</v>
      </c>
      <c r="W39" t="n">
        <v>0.1965657887590233</v>
      </c>
      <c r="X39">
        <f>I39/1000000</f>
        <v/>
      </c>
      <c r="Y39">
        <f>N39/X39</f>
        <v/>
      </c>
      <c r="Z39">
        <f>1/X39</f>
        <v/>
      </c>
      <c r="AA39">
        <f>params!$B$2+(params!$B$3-params!$B$2)*K39/100</f>
        <v/>
      </c>
      <c r="AB39">
        <f>Y39*AA39/L39</f>
        <v/>
      </c>
    </row>
    <row r="40">
      <c r="A40" t="inlineStr">
        <is>
          <t>us-east-1</t>
        </is>
      </c>
      <c r="B40" t="inlineStr">
        <is>
          <t>i-0c2632bdc5c123cab</t>
        </is>
      </c>
      <c r="C40" t="inlineStr">
        <is>
          <t>m5.large</t>
        </is>
      </c>
      <c r="D40" t="inlineStr">
        <is>
          <t>Intel(R) Xeon(R) Platinum 8259CL CPU @ 2.50GHz</t>
        </is>
      </c>
      <c r="E40" t="n">
        <v>4</v>
      </c>
      <c r="F40" t="inlineStr">
        <is>
          <t>2026-10-11T21:44:21+00:00</t>
        </is>
      </c>
      <c r="G40" t="inlineStr">
        <is>
          <t>2026-10-11T21:54:21+00:00</t>
        </is>
      </c>
      <c r="H40" t="n">
        <v>643.91</v>
      </c>
      <c r="I40" t="n">
        <v>386351</v>
      </c>
      <c r="J40" t="n">
        <v>0.1385416666666666</v>
      </c>
      <c r="K40" t="n">
        <v>99.953125</v>
      </c>
      <c r="L40" t="n">
        <v>19.99446875</v>
      </c>
      <c r="M40" t="n">
        <v>1.14</v>
      </c>
      <c r="N40" t="n">
        <v>0.003798966790928958</v>
      </c>
      <c r="O40" t="n">
        <v>343</v>
      </c>
      <c r="P40" t="n">
        <v>445.5</v>
      </c>
      <c r="Q40" t="inlineStr">
        <is>
          <t>em-hourly.csv</t>
        </is>
      </c>
      <c r="R40" t="n">
        <v>1.303045609288633</v>
      </c>
      <c r="S40" t="n">
        <v>1.692439705358851</v>
      </c>
      <c r="T40" t="n">
        <v>0.076</v>
      </c>
      <c r="U40" t="n">
        <v>3.569411258903517</v>
      </c>
      <c r="V40" t="n">
        <v>4.577287765163934</v>
      </c>
      <c r="W40" t="n">
        <v>0.1967123160028057</v>
      </c>
      <c r="X40">
        <f>I40/1000000</f>
        <v/>
      </c>
      <c r="Y40">
        <f>N40/X40</f>
        <v/>
      </c>
      <c r="Z40">
        <f>1/X40</f>
        <v/>
      </c>
      <c r="AA40">
        <f>params!$B$2+(params!$B$3-params!$B$2)*K40/100</f>
        <v/>
      </c>
      <c r="AB40">
        <f>Y40*AA40/L40</f>
        <v/>
      </c>
    </row>
    <row r="41">
      <c r="A41" t="inlineStr">
        <is>
          <t>us-east-1</t>
        </is>
      </c>
      <c r="B41" t="inlineStr">
        <is>
          <t>i-0c2632bdc5c123cab</t>
        </is>
      </c>
      <c r="C41" t="inlineStr">
        <is>
          <t>m5.large</t>
        </is>
      </c>
      <c r="D41" t="inlineStr">
        <is>
          <t>Intel(R) Xeon(R) Platinum 8259CL CPU @ 2.50GHz</t>
        </is>
      </c>
      <c r="E41" t="n">
        <v>5</v>
      </c>
      <c r="F41" t="inlineStr">
        <is>
          <t>2026-10-11T21:55:21+00:00</t>
        </is>
      </c>
      <c r="G41" t="inlineStr">
        <is>
          <t>2026-10-11T22:05:21+00:00</t>
        </is>
      </c>
      <c r="H41" t="n">
        <v>642</v>
      </c>
      <c r="I41" t="n">
        <v>385205</v>
      </c>
      <c r="J41" t="n">
        <v>0.1385416666666666</v>
      </c>
      <c r="K41" t="n">
        <v>99.95208333333333</v>
      </c>
      <c r="L41" t="n">
        <v>19.99434583333333</v>
      </c>
      <c r="M41" t="n">
        <v>1.14</v>
      </c>
      <c r="N41" t="n">
        <v>0.003798952300813291</v>
      </c>
      <c r="O41" t="n">
        <v>343</v>
      </c>
      <c r="P41" t="n">
        <v>445.5</v>
      </c>
      <c r="Q41" t="inlineStr">
        <is>
          <t>em-hourly.csv</t>
        </is>
      </c>
      <c r="R41" t="n">
        <v>1.303040639178959</v>
      </c>
      <c r="S41" t="n">
        <v>1.692433250012321</v>
      </c>
      <c r="T41" t="n">
        <v>0.076</v>
      </c>
      <c r="U41" t="n">
        <v>3.580017495045388</v>
      </c>
      <c r="V41" t="n">
        <v>4.590888617780977</v>
      </c>
      <c r="W41" t="n">
        <v>0.1972975428667852</v>
      </c>
      <c r="X41">
        <f>I41/1000000</f>
        <v/>
      </c>
      <c r="Y41">
        <f>N41/X41</f>
        <v/>
      </c>
      <c r="Z41">
        <f>1/X41</f>
        <v/>
      </c>
      <c r="AA41">
        <f>params!$B$2+(params!$B$3-params!$B$2)*K41/100</f>
        <v/>
      </c>
      <c r="AB41">
        <f>Y41*AA41/L41</f>
        <v/>
      </c>
    </row>
    <row r="42">
      <c r="A42" t="inlineStr">
        <is>
          <t>us-west-2</t>
        </is>
      </c>
      <c r="B42" t="inlineStr">
        <is>
          <t>i-0200e9bd348ad1f37</t>
        </is>
      </c>
      <c r="C42" t="inlineStr">
        <is>
          <t>m5.large</t>
        </is>
      </c>
      <c r="D42" t="inlineStr">
        <is>
          <t>Intel(R) Xeon(R) Platinum 8175M CPU @ 2.50GHz</t>
        </is>
      </c>
      <c r="E42" t="n">
        <v>1</v>
      </c>
      <c r="F42" t="inlineStr">
        <is>
          <t>2026-10-11T14:19:38+00:00</t>
        </is>
      </c>
      <c r="G42" t="inlineStr">
        <is>
          <t>2026-10-11T14:29:38+00:00</t>
        </is>
      </c>
      <c r="H42" t="n">
        <v>642.1</v>
      </c>
      <c r="I42" t="n">
        <v>385260</v>
      </c>
      <c r="J42" t="n">
        <v>0.175</v>
      </c>
      <c r="K42" t="n">
        <v>99.95104166666667</v>
      </c>
      <c r="L42" t="n">
        <v>19.99422291666666</v>
      </c>
      <c r="M42" t="n">
        <v>1.14</v>
      </c>
      <c r="N42" t="n">
        <v>0.003798913117723336</v>
      </c>
      <c r="O42" t="n">
        <v>98</v>
      </c>
      <c r="P42" t="n">
        <v>374</v>
      </c>
      <c r="Q42" t="inlineStr">
        <is>
          <t>em-hourly.csv</t>
        </is>
      </c>
      <c r="R42" t="n">
        <v>0.3722934855368869</v>
      </c>
      <c r="S42" t="n">
        <v>1.420793506028528</v>
      </c>
      <c r="T42" t="n">
        <v>0.076</v>
      </c>
      <c r="U42" t="n">
        <v>1.163612847263892</v>
      </c>
      <c r="V42" t="n">
        <v>3.885151601589908</v>
      </c>
      <c r="W42" t="n">
        <v>0.1972693765249442</v>
      </c>
      <c r="X42">
        <f>I42/1000000</f>
        <v/>
      </c>
      <c r="Y42">
        <f>N42/X42</f>
        <v/>
      </c>
      <c r="Z42">
        <f>1/X42</f>
        <v/>
      </c>
      <c r="AA42">
        <f>params!$B$2+(params!$B$3-params!$B$2)*K42/100</f>
        <v/>
      </c>
      <c r="AB42">
        <f>Y42*AA42/L42</f>
        <v/>
      </c>
    </row>
    <row r="43">
      <c r="A43" t="inlineStr">
        <is>
          <t>us-west-2</t>
        </is>
      </c>
      <c r="B43" t="inlineStr">
        <is>
          <t>i-0200e9bd348ad1f37</t>
        </is>
      </c>
      <c r="C43" t="inlineStr">
        <is>
          <t>m5.large</t>
        </is>
      </c>
      <c r="D43" t="inlineStr">
        <is>
          <t>Intel(R) Xeon(R) Platinum 8175M CPU @ 2.50GHz</t>
        </is>
      </c>
      <c r="E43" t="n">
        <v>2</v>
      </c>
      <c r="F43" t="inlineStr">
        <is>
          <t>2026-10-11T14:30:38+00:00</t>
        </is>
      </c>
      <c r="G43" t="inlineStr">
        <is>
          <t>2026-10-11T14:40:38+00:00</t>
        </is>
      </c>
      <c r="H43" t="n">
        <v>642.21</v>
      </c>
      <c r="I43" t="n">
        <v>385330</v>
      </c>
      <c r="J43" t="n">
        <v>0.175</v>
      </c>
      <c r="K43" t="n">
        <v>99.95624995485851</v>
      </c>
      <c r="L43" t="n">
        <v>19.99483749467331</v>
      </c>
      <c r="M43" t="n">
        <v>1.14</v>
      </c>
      <c r="N43" t="n">
        <v>0.003799043184442379</v>
      </c>
      <c r="O43" t="n">
        <v>98</v>
      </c>
      <c r="P43" t="n">
        <v>374</v>
      </c>
      <c r="Q43" t="inlineStr">
        <is>
          <t>em-hourly.csv</t>
        </is>
      </c>
      <c r="R43" t="n">
        <v>0.3723062320753531</v>
      </c>
      <c r="S43" t="n">
        <v>1.42084215098145</v>
      </c>
      <c r="T43" t="n">
        <v>0.076</v>
      </c>
      <c r="U43" t="n">
        <v>1.163434542016851</v>
      </c>
      <c r="V43" t="n">
        <v>3.884572057668621</v>
      </c>
      <c r="W43" t="n">
        <v>0.1972335400825267</v>
      </c>
      <c r="X43">
        <f>I43/1000000</f>
        <v/>
      </c>
      <c r="Y43">
        <f>N43/X43</f>
        <v/>
      </c>
      <c r="Z43">
        <f>1/X43</f>
        <v/>
      </c>
      <c r="AA43">
        <f>params!$B$2+(params!$B$3-params!$B$2)*K43/100</f>
        <v/>
      </c>
      <c r="AB43">
        <f>Y43*AA43/L43</f>
        <v/>
      </c>
    </row>
    <row r="44">
      <c r="A44" t="inlineStr">
        <is>
          <t>us-west-2</t>
        </is>
      </c>
      <c r="B44" t="inlineStr">
        <is>
          <t>i-0200e9bd348ad1f37</t>
        </is>
      </c>
      <c r="C44" t="inlineStr">
        <is>
          <t>m5.large</t>
        </is>
      </c>
      <c r="D44" t="inlineStr">
        <is>
          <t>Intel(R) Xeon(R) Platinum 8175M CPU @ 2.50GHz</t>
        </is>
      </c>
      <c r="E44" t="n">
        <v>3</v>
      </c>
      <c r="F44" t="inlineStr">
        <is>
          <t>2026-10-11T14:41:38+00:00</t>
        </is>
      </c>
      <c r="G44" t="inlineStr">
        <is>
          <t>2026-10-11T14:51:38+00:00</t>
        </is>
      </c>
      <c r="H44" t="n">
        <v>642.41</v>
      </c>
      <c r="I44" t="n">
        <v>385446</v>
      </c>
      <c r="J44" t="n">
        <v>0.175</v>
      </c>
      <c r="K44" t="n">
        <v>99.94895833333332</v>
      </c>
      <c r="L44" t="n">
        <v>19.99397708333333</v>
      </c>
      <c r="M44" t="n">
        <v>1.14</v>
      </c>
      <c r="N44" t="n">
        <v>0.003798871474398525</v>
      </c>
      <c r="O44" t="n">
        <v>98</v>
      </c>
      <c r="P44" t="n">
        <v>374</v>
      </c>
      <c r="Q44" t="inlineStr">
        <is>
          <t>em-hourly.csv</t>
        </is>
      </c>
      <c r="R44" t="n">
        <v>0.3722894044910555</v>
      </c>
      <c r="S44" t="n">
        <v>1.420777931425048</v>
      </c>
      <c r="T44" t="n">
        <v>0.076</v>
      </c>
      <c r="U44" t="n">
        <v>1.163040748875473</v>
      </c>
      <c r="V44" t="n">
        <v>3.883236384409356</v>
      </c>
      <c r="W44" t="n">
        <v>0.1971741826351811</v>
      </c>
      <c r="X44">
        <f>I44/1000000</f>
        <v/>
      </c>
      <c r="Y44">
        <f>N44/X44</f>
        <v/>
      </c>
      <c r="Z44">
        <f>1/X44</f>
        <v/>
      </c>
      <c r="AA44">
        <f>params!$B$2+(params!$B$3-params!$B$2)*K44/100</f>
        <v/>
      </c>
      <c r="AB44">
        <f>Y44*AA44/L44</f>
        <v/>
      </c>
    </row>
    <row r="45">
      <c r="A45" t="inlineStr">
        <is>
          <t>us-west-2</t>
        </is>
      </c>
      <c r="B45" t="inlineStr">
        <is>
          <t>i-0200e9bd348ad1f37</t>
        </is>
      </c>
      <c r="C45" t="inlineStr">
        <is>
          <t>m5.large</t>
        </is>
      </c>
      <c r="D45" t="inlineStr">
        <is>
          <t>Intel(R) Xeon(R) Platinum 8175M CPU @ 2.50GHz</t>
        </is>
      </c>
      <c r="E45" t="n">
        <v>4</v>
      </c>
      <c r="F45" t="inlineStr">
        <is>
          <t>2026-10-11T14:52:38+00:00</t>
        </is>
      </c>
      <c r="G45" t="inlineStr">
        <is>
          <t>2026-10-11T15:02:38+00:00</t>
        </is>
      </c>
      <c r="H45" t="n">
        <v>642.09</v>
      </c>
      <c r="I45" t="n">
        <v>385259</v>
      </c>
      <c r="J45" t="n">
        <v>0.175</v>
      </c>
      <c r="K45" t="n">
        <v>99.95229204163634</v>
      </c>
      <c r="L45" t="n">
        <v>19.99437046091309</v>
      </c>
      <c r="M45" t="n">
        <v>1.14</v>
      </c>
      <c r="N45" t="n">
        <v>0.003798955080621006</v>
      </c>
      <c r="O45" t="n">
        <v>98</v>
      </c>
      <c r="P45" t="n">
        <v>374</v>
      </c>
      <c r="Q45" t="inlineStr">
        <is>
          <t>em-hourly.csv</t>
        </is>
      </c>
      <c r="R45" t="n">
        <v>0.3722975979008585</v>
      </c>
      <c r="S45" t="n">
        <v>1.420809200152256</v>
      </c>
      <c r="T45" t="n">
        <v>0.076</v>
      </c>
      <c r="U45" t="n">
        <v>1.163626541887038</v>
      </c>
      <c r="V45" t="n">
        <v>3.885202422661783</v>
      </c>
      <c r="W45" t="n">
        <v>0.1972698885684695</v>
      </c>
      <c r="X45">
        <f>I45/1000000</f>
        <v/>
      </c>
      <c r="Y45">
        <f>N45/X45</f>
        <v/>
      </c>
      <c r="Z45">
        <f>1/X45</f>
        <v/>
      </c>
      <c r="AA45">
        <f>params!$B$2+(params!$B$3-params!$B$2)*K45/100</f>
        <v/>
      </c>
      <c r="AB45">
        <f>Y45*AA45/L45</f>
        <v/>
      </c>
    </row>
    <row r="46">
      <c r="A46" t="inlineStr">
        <is>
          <t>us-west-2</t>
        </is>
      </c>
      <c r="B46" t="inlineStr">
        <is>
          <t>i-0200e9bd348ad1f37</t>
        </is>
      </c>
      <c r="C46" t="inlineStr">
        <is>
          <t>m5.large</t>
        </is>
      </c>
      <c r="D46" t="inlineStr">
        <is>
          <t>Intel(R) Xeon(R) Platinum 8175M CPU @ 2.50GHz</t>
        </is>
      </c>
      <c r="E46" t="n">
        <v>5</v>
      </c>
      <c r="F46" t="inlineStr">
        <is>
          <t>2026-10-11T15:03:38+00:00</t>
        </is>
      </c>
      <c r="G46" t="inlineStr">
        <is>
          <t>2026-10-11T15:13:38+00:00</t>
        </is>
      </c>
      <c r="H46" t="n">
        <v>642.11</v>
      </c>
      <c r="I46" t="n">
        <v>385271</v>
      </c>
      <c r="J46" t="n">
        <v>0.175</v>
      </c>
      <c r="K46" t="n">
        <v>99.94916656597054</v>
      </c>
      <c r="L46" t="n">
        <v>19.99400165478453</v>
      </c>
      <c r="M46" t="n">
        <v>1.14</v>
      </c>
      <c r="N46" t="n">
        <v>0.003798883740714331</v>
      </c>
      <c r="O46" t="n">
        <v>98</v>
      </c>
      <c r="P46" t="n">
        <v>374</v>
      </c>
      <c r="Q46" t="inlineStr">
        <is>
          <t>em-hourly.csv</t>
        </is>
      </c>
      <c r="R46" t="n">
        <v>0.3722906065900045</v>
      </c>
      <c r="S46" t="n">
        <v>1.42078251902716</v>
      </c>
      <c r="T46" t="n">
        <v>0.076</v>
      </c>
      <c r="U46" t="n">
        <v>1.163572152043638</v>
      </c>
      <c r="V46" t="n">
        <v>3.885012157746521</v>
      </c>
      <c r="W46" t="n">
        <v>0.1972637442215999</v>
      </c>
      <c r="X46">
        <f>I46/1000000</f>
        <v/>
      </c>
      <c r="Y46">
        <f>N46/X46</f>
        <v/>
      </c>
      <c r="Z46">
        <f>1/X46</f>
        <v/>
      </c>
      <c r="AA46">
        <f>params!$B$2+(params!$B$3-params!$B$2)*K46/100</f>
        <v/>
      </c>
      <c r="AB46">
        <f>Y46*AA46/L46</f>
        <v/>
      </c>
    </row>
    <row r="47">
      <c r="A47" t="inlineStr">
        <is>
          <t>us-west-2</t>
        </is>
      </c>
      <c r="B47" t="inlineStr">
        <is>
          <t>i-0289fc492343a3760</t>
        </is>
      </c>
      <c r="C47" t="inlineStr">
        <is>
          <t>m5.large</t>
        </is>
      </c>
      <c r="D47" t="inlineStr">
        <is>
          <t>Intel(R) Xeon(R) Platinum 8259CL CPU @ 2.50GHz</t>
        </is>
      </c>
      <c r="E47" t="n">
        <v>1</v>
      </c>
      <c r="F47" t="inlineStr">
        <is>
          <t>2026-10-11T21:11:20+00:00</t>
        </is>
      </c>
      <c r="G47" t="inlineStr">
        <is>
          <t>2026-10-11T21:21:20+00:00</t>
        </is>
      </c>
      <c r="H47" t="n">
        <v>643.9299999999999</v>
      </c>
      <c r="I47" t="n">
        <v>386360</v>
      </c>
      <c r="J47" t="n">
        <v>0.1395824658194093</v>
      </c>
      <c r="K47" t="n">
        <v>99.95833308639135</v>
      </c>
      <c r="L47" t="n">
        <v>19.99508330419418</v>
      </c>
      <c r="M47" t="n">
        <v>1.14</v>
      </c>
      <c r="N47" t="n">
        <v>0.003799076591816739</v>
      </c>
      <c r="O47" t="n">
        <v>98</v>
      </c>
      <c r="P47" t="n">
        <v>327</v>
      </c>
      <c r="Q47" t="inlineStr">
        <is>
          <t>em-hourly.csv</t>
        </is>
      </c>
      <c r="R47" t="n">
        <v>0.3723095059980404</v>
      </c>
      <c r="S47" t="n">
        <v>1.242298045524074</v>
      </c>
      <c r="T47" t="n">
        <v>0.076</v>
      </c>
      <c r="U47" t="n">
        <v>1.160341406972876</v>
      </c>
      <c r="V47" t="n">
        <v>3.412097643451894</v>
      </c>
      <c r="W47" t="n">
        <v>0.1967077337198468</v>
      </c>
      <c r="X47">
        <f>I47/1000000</f>
        <v/>
      </c>
      <c r="Y47">
        <f>N47/X47</f>
        <v/>
      </c>
      <c r="Z47">
        <f>1/X47</f>
        <v/>
      </c>
      <c r="AA47">
        <f>params!$B$2+(params!$B$3-params!$B$2)*K47/100</f>
        <v/>
      </c>
      <c r="AB47">
        <f>Y47*AA47/L47</f>
        <v/>
      </c>
    </row>
    <row r="48">
      <c r="A48" t="inlineStr">
        <is>
          <t>us-west-2</t>
        </is>
      </c>
      <c r="B48" t="inlineStr">
        <is>
          <t>i-0289fc492343a3760</t>
        </is>
      </c>
      <c r="C48" t="inlineStr">
        <is>
          <t>m5.large</t>
        </is>
      </c>
      <c r="D48" t="inlineStr">
        <is>
          <t>Intel(R) Xeon(R) Platinum 8259CL CPU @ 2.50GHz</t>
        </is>
      </c>
      <c r="E48" t="n">
        <v>2</v>
      </c>
      <c r="F48" t="inlineStr">
        <is>
          <t>2026-10-11T21:22:20+00:00</t>
        </is>
      </c>
      <c r="G48" t="inlineStr">
        <is>
          <t>2026-10-11T21:32:20+00:00</t>
        </is>
      </c>
      <c r="H48" t="n">
        <v>644.11</v>
      </c>
      <c r="I48" t="n">
        <v>386467</v>
      </c>
      <c r="J48" t="n">
        <v>0.1395824658194093</v>
      </c>
      <c r="K48" t="n">
        <v>99.95937328768818</v>
      </c>
      <c r="L48" t="n">
        <v>19.99520604794721</v>
      </c>
      <c r="M48" t="n">
        <v>1.14</v>
      </c>
      <c r="N48" t="n">
        <v>0.003799109410918764</v>
      </c>
      <c r="O48" t="n">
        <v>98</v>
      </c>
      <c r="P48" t="n">
        <v>327</v>
      </c>
      <c r="Q48" t="inlineStr">
        <is>
          <t>em-hourly.csv</t>
        </is>
      </c>
      <c r="R48" t="n">
        <v>0.3723127222700389</v>
      </c>
      <c r="S48" t="n">
        <v>1.242308777370436</v>
      </c>
      <c r="T48" t="n">
        <v>0.076</v>
      </c>
      <c r="U48" t="n">
        <v>1.160028468847376</v>
      </c>
      <c r="V48" t="n">
        <v>3.411180714965148</v>
      </c>
      <c r="W48" t="n">
        <v>0.1966532718188099</v>
      </c>
      <c r="X48">
        <f>I48/1000000</f>
        <v/>
      </c>
      <c r="Y48">
        <f>N48/X48</f>
        <v/>
      </c>
      <c r="Z48">
        <f>1/X48</f>
        <v/>
      </c>
      <c r="AA48">
        <f>params!$B$2+(params!$B$3-params!$B$2)*K48/100</f>
        <v/>
      </c>
      <c r="AB48">
        <f>Y48*AA48/L48</f>
        <v/>
      </c>
    </row>
    <row r="49">
      <c r="A49" t="inlineStr">
        <is>
          <t>us-west-2</t>
        </is>
      </c>
      <c r="B49" t="inlineStr">
        <is>
          <t>i-0289fc492343a3760</t>
        </is>
      </c>
      <c r="C49" t="inlineStr">
        <is>
          <t>m5.large</t>
        </is>
      </c>
      <c r="D49" t="inlineStr">
        <is>
          <t>Intel(R) Xeon(R) Platinum 8259CL CPU @ 2.50GHz</t>
        </is>
      </c>
      <c r="E49" t="n">
        <v>3</v>
      </c>
      <c r="F49" t="inlineStr">
        <is>
          <t>2026-10-11T21:33:20+00:00</t>
        </is>
      </c>
      <c r="G49" t="inlineStr">
        <is>
          <t>2026-10-11T21:43:20+00:00</t>
        </is>
      </c>
      <c r="H49" t="n">
        <v>644.3099999999999</v>
      </c>
      <c r="I49" t="n">
        <v>386587</v>
      </c>
      <c r="J49" t="n">
        <v>0.1395824658194093</v>
      </c>
      <c r="K49" t="n">
        <v>99.96000351316343</v>
      </c>
      <c r="L49" t="n">
        <v>19.99528041455329</v>
      </c>
      <c r="M49" t="n">
        <v>1.14</v>
      </c>
      <c r="N49" t="n">
        <v>0.003799124807017037</v>
      </c>
      <c r="O49" t="n">
        <v>98</v>
      </c>
      <c r="P49" t="n">
        <v>327</v>
      </c>
      <c r="Q49" t="inlineStr">
        <is>
          <t>em-hourly.csv</t>
        </is>
      </c>
      <c r="R49" t="n">
        <v>0.3723142310876696</v>
      </c>
      <c r="S49" t="n">
        <v>1.242313811894571</v>
      </c>
      <c r="T49" t="n">
        <v>0.076</v>
      </c>
      <c r="U49" t="n">
        <v>1.159672288741395</v>
      </c>
      <c r="V49" t="n">
        <v>3.410134877516759</v>
      </c>
      <c r="W49" t="n">
        <v>0.1965922289161301</v>
      </c>
      <c r="X49">
        <f>I49/1000000</f>
        <v/>
      </c>
      <c r="Y49">
        <f>N49/X49</f>
        <v/>
      </c>
      <c r="Z49">
        <f>1/X49</f>
        <v/>
      </c>
      <c r="AA49">
        <f>params!$B$2+(params!$B$3-params!$B$2)*K49/100</f>
        <v/>
      </c>
      <c r="AB49">
        <f>Y49*AA49/L49</f>
        <v/>
      </c>
    </row>
    <row r="50">
      <c r="A50" t="inlineStr">
        <is>
          <t>us-west-2</t>
        </is>
      </c>
      <c r="B50" t="inlineStr">
        <is>
          <t>i-0289fc492343a3760</t>
        </is>
      </c>
      <c r="C50" t="inlineStr">
        <is>
          <t>m5.large</t>
        </is>
      </c>
      <c r="D50" t="inlineStr">
        <is>
          <t>Intel(R) Xeon(R) Platinum 8259CL CPU @ 2.50GHz</t>
        </is>
      </c>
      <c r="E50" t="n">
        <v>4</v>
      </c>
      <c r="F50" t="inlineStr">
        <is>
          <t>2026-10-11T21:44:20+00:00</t>
        </is>
      </c>
      <c r="G50" t="inlineStr">
        <is>
          <t>2026-10-11T21:54:20+00:00</t>
        </is>
      </c>
      <c r="H50" t="n">
        <v>644.05</v>
      </c>
      <c r="I50" t="n">
        <v>386435</v>
      </c>
      <c r="J50" t="n">
        <v>0.1395824658194093</v>
      </c>
      <c r="K50" t="n">
        <v>99.96062486072189</v>
      </c>
      <c r="L50" t="n">
        <v>19.99535373356518</v>
      </c>
      <c r="M50" t="n">
        <v>1.14</v>
      </c>
      <c r="N50" t="n">
        <v>0.003799140637266842</v>
      </c>
      <c r="O50" t="n">
        <v>98</v>
      </c>
      <c r="P50" t="n">
        <v>327</v>
      </c>
      <c r="Q50" t="inlineStr">
        <is>
          <t>em-hourly.csv</t>
        </is>
      </c>
      <c r="R50" t="n">
        <v>0.3723157824521505</v>
      </c>
      <c r="S50" t="n">
        <v>1.242318988386257</v>
      </c>
      <c r="T50" t="n">
        <v>0.076</v>
      </c>
      <c r="U50" t="n">
        <v>1.160132447765214</v>
      </c>
      <c r="V50" t="n">
        <v>3.411489612447779</v>
      </c>
      <c r="W50" t="n">
        <v>0.1966695563290075</v>
      </c>
      <c r="X50">
        <f>I50/1000000</f>
        <v/>
      </c>
      <c r="Y50">
        <f>N50/X50</f>
        <v/>
      </c>
      <c r="Z50">
        <f>1/X50</f>
        <v/>
      </c>
      <c r="AA50">
        <f>params!$B$2+(params!$B$3-params!$B$2)*K50/100</f>
        <v/>
      </c>
      <c r="AB50">
        <f>Y50*AA50/L50</f>
        <v/>
      </c>
    </row>
    <row r="51">
      <c r="A51" t="inlineStr">
        <is>
          <t>us-west-2</t>
        </is>
      </c>
      <c r="B51" t="inlineStr">
        <is>
          <t>i-0289fc492343a3760</t>
        </is>
      </c>
      <c r="C51" t="inlineStr">
        <is>
          <t>m5.large</t>
        </is>
      </c>
      <c r="D51" t="inlineStr">
        <is>
          <t>Intel(R) Xeon(R) Platinum 8259CL CPU @ 2.50GHz</t>
        </is>
      </c>
      <c r="E51" t="n">
        <v>5</v>
      </c>
      <c r="F51" t="inlineStr">
        <is>
          <t>2026-10-11T21:55:20+00:00</t>
        </is>
      </c>
      <c r="G51" t="inlineStr">
        <is>
          <t>2026-10-11T22:05:20+00:00</t>
        </is>
      </c>
      <c r="H51" t="n">
        <v>643.99</v>
      </c>
      <c r="I51" t="n">
        <v>386398</v>
      </c>
      <c r="J51" t="n">
        <v>0.1395824658194093</v>
      </c>
      <c r="K51" t="n">
        <v>99.95812474647228</v>
      </c>
      <c r="L51" t="n">
        <v>19.99505872008373</v>
      </c>
      <c r="M51" t="n">
        <v>1.14</v>
      </c>
      <c r="N51" t="n">
        <v>0.003799078252591113</v>
      </c>
      <c r="O51" t="n">
        <v>98</v>
      </c>
      <c r="P51" t="n">
        <v>327</v>
      </c>
      <c r="Q51" t="inlineStr">
        <is>
          <t>em-hourly.csv</t>
        </is>
      </c>
      <c r="R51" t="n">
        <v>0.3723096687539291</v>
      </c>
      <c r="S51" t="n">
        <v>1.242298588597294</v>
      </c>
      <c r="T51" t="n">
        <v>0.076</v>
      </c>
      <c r="U51" t="n">
        <v>1.160227715345134</v>
      </c>
      <c r="V51" t="n">
        <v>3.411763488934451</v>
      </c>
      <c r="W51" t="n">
        <v>0.196688388656256</v>
      </c>
      <c r="X51">
        <f>I51/1000000</f>
        <v/>
      </c>
      <c r="Y51">
        <f>N51/X51</f>
        <v/>
      </c>
      <c r="Z51">
        <f>1/X51</f>
        <v/>
      </c>
      <c r="AA51">
        <f>params!$B$2+(params!$B$3-params!$B$2)*K51/100</f>
        <v/>
      </c>
      <c r="AB51">
        <f>Y51*AA51/L51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n_runs</t>
        </is>
      </c>
      <c r="C1" s="1" t="inlineStr">
        <is>
          <t>cpu_models</t>
        </is>
      </c>
      <c r="D1" s="1" t="inlineStr">
        <is>
          <t>events_per_sec_mean</t>
        </is>
      </c>
      <c r="E1" s="1" t="inlineStr">
        <is>
          <t>events_per_sec_sd</t>
        </is>
      </c>
      <c r="F1" s="1" t="inlineStr">
        <is>
          <t>events_per_sec_cv_pct</t>
        </is>
      </c>
      <c r="G1" s="1" t="inlineStr">
        <is>
          <t>op_g_mean</t>
        </is>
      </c>
      <c r="H1" s="1" t="inlineStr">
        <is>
          <t>embodied_g</t>
        </is>
      </c>
      <c r="I1" s="1" t="inlineStr">
        <is>
          <t>embodied_share_pct</t>
        </is>
      </c>
      <c r="J1" s="1" t="inlineStr">
        <is>
          <t>sci_lbm_annual_mean</t>
        </is>
      </c>
      <c r="K1" s="1" t="inlineStr">
        <is>
          <t>sci_lbm_annual_sd</t>
        </is>
      </c>
    </row>
    <row r="2">
      <c r="A2" t="inlineStr">
        <is>
          <t>eu-north-1</t>
        </is>
      </c>
      <c r="B2" t="n">
        <v>10</v>
      </c>
      <c r="C2" t="inlineStr">
        <is>
          <t>Intel(R) Xeon(R) Platinum 8259CL CPU @ 2.50GHz</t>
        </is>
      </c>
      <c r="D2" t="n">
        <v>644.2520000000001</v>
      </c>
      <c r="E2" t="n">
        <v>0.4172875374234093</v>
      </c>
      <c r="F2" t="n">
        <v>0.06477085634556187</v>
      </c>
      <c r="G2" t="n">
        <v>0.07949565994829136</v>
      </c>
      <c r="H2" t="n">
        <v>0.076</v>
      </c>
      <c r="I2" t="n">
        <v>48.87596221352615</v>
      </c>
      <c r="J2" t="n">
        <v>0.4022621636524367</v>
      </c>
      <c r="K2" t="n">
        <v>0.0002967233580248669</v>
      </c>
    </row>
    <row r="3">
      <c r="A3" t="inlineStr">
        <is>
          <t>us-west-2</t>
        </is>
      </c>
      <c r="B3" t="n">
        <v>10</v>
      </c>
      <c r="C3" t="inlineStr">
        <is>
          <t>Intel(R) Xeon(R) Platinum 8175M CPU @ 2.50GHz;Intel(R) Xeon(R) Platinum 8259CL CPU @ 2.50GHz</t>
        </is>
      </c>
      <c r="D3" t="n">
        <v>643.131</v>
      </c>
      <c r="E3" t="n">
        <v>1.007002703295477</v>
      </c>
      <c r="F3" t="n">
        <v>0.1565781626597812</v>
      </c>
      <c r="G3" t="n">
        <v>0.3723039237155987</v>
      </c>
      <c r="H3" t="n">
        <v>0.076</v>
      </c>
      <c r="I3" t="n">
        <v>16.95278492548148</v>
      </c>
      <c r="J3" t="n">
        <v>1.161768915975889</v>
      </c>
      <c r="K3" t="n">
        <v>0.001795379795150673</v>
      </c>
    </row>
    <row r="4">
      <c r="A4" t="inlineStr">
        <is>
          <t>eu-west-1</t>
        </is>
      </c>
      <c r="B4" t="n">
        <v>10</v>
      </c>
      <c r="C4" t="inlineStr">
        <is>
          <t>Intel(R) Xeon(R) Platinum 8175M CPU @ 2.50GHz;Intel(R) Xeon(R) Platinum 8259CL CPU @ 2.50GHz</t>
        </is>
      </c>
      <c r="D4" t="n">
        <v>643.037</v>
      </c>
      <c r="E4" t="n">
        <v>0.8036728190003635</v>
      </c>
      <c r="F4" t="n">
        <v>0.1249808049926153</v>
      </c>
      <c r="G4" t="n">
        <v>1.124212513361587</v>
      </c>
      <c r="H4" t="n">
        <v>0.076</v>
      </c>
      <c r="I4" t="n">
        <v>6.33221193362975</v>
      </c>
      <c r="J4" t="n">
        <v>3.110774502055901</v>
      </c>
      <c r="K4" t="n">
        <v>0.004029696704171385</v>
      </c>
    </row>
    <row r="5">
      <c r="A5" t="inlineStr">
        <is>
          <t>us-east-1</t>
        </is>
      </c>
      <c r="B5" t="n">
        <v>10</v>
      </c>
      <c r="C5" t="inlineStr">
        <is>
          <t>Intel(R) Xeon(R) Platinum 8259CL CPU @ 2.50GHz</t>
        </is>
      </c>
      <c r="D5" t="n">
        <v>643.428</v>
      </c>
      <c r="E5" t="n">
        <v>0.8543977736134057</v>
      </c>
      <c r="F5" t="n">
        <v>0.1327884042369007</v>
      </c>
      <c r="G5" t="n">
        <v>1.302978842226313</v>
      </c>
      <c r="H5" t="n">
        <v>0.076</v>
      </c>
      <c r="I5" t="n">
        <v>5.511324588367192</v>
      </c>
      <c r="J5" t="n">
        <v>3.571930701071542</v>
      </c>
      <c r="K5" t="n">
        <v>0.00467467017392489</v>
      </c>
    </row>
    <row r="6">
      <c r="A6" t="inlineStr">
        <is>
          <t>ap-south-1</t>
        </is>
      </c>
      <c r="B6" t="n">
        <v>10</v>
      </c>
      <c r="C6" t="inlineStr">
        <is>
          <t>Intel(R) Xeon(R) Platinum 8175M CPU @ 2.50GHz</t>
        </is>
      </c>
      <c r="D6" t="n">
        <v>666.441</v>
      </c>
      <c r="E6" t="n">
        <v>31.2330474729003</v>
      </c>
      <c r="F6" t="n">
        <v>4.686543515915182</v>
      </c>
      <c r="G6" t="n">
        <v>2.550833363534316</v>
      </c>
      <c r="H6" t="n">
        <v>0.076</v>
      </c>
      <c r="I6" t="n">
        <v>2.893217402178285</v>
      </c>
      <c r="J6" t="n">
        <v>6.581731306880246</v>
      </c>
      <c r="K6" t="n">
        <v>0.2957793777462328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16" customWidth="1" min="3" max="3"/>
    <col width="10" customWidth="1" min="4" max="4"/>
    <col width="9" customWidth="1" min="5" max="5"/>
    <col width="9" customWidth="1" min="6" max="6"/>
    <col width="10" customWidth="1" min="7" max="7"/>
    <col width="10" customWidth="1" min="8" max="8"/>
    <col width="11" customWidth="1" min="9" max="9"/>
    <col width="9" customWidth="1" min="10" max="10"/>
    <col width="9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Table 3. SCI of the same sysbench workload (m5.large, 10 x 600 s runs per region) under three accounting views</t>
        </is>
      </c>
    </row>
    <row r="2">
      <c r="A2" s="2" t="inlineStr">
        <is>
          <t>Region</t>
        </is>
      </c>
      <c r="B2" s="2" t="inlineStr">
        <is>
          <t>n</t>
        </is>
      </c>
      <c r="C2" s="2" t="inlineStr">
        <is>
          <t>CPU model(s)</t>
        </is>
      </c>
      <c r="D2" s="2" t="inlineStr">
        <is>
          <t>events/s mean</t>
        </is>
      </c>
      <c r="E2" s="2" t="inlineStr">
        <is>
          <t>events/s CV %</t>
        </is>
      </c>
      <c r="F2" s="2" t="inlineStr">
        <is>
          <t>E per run (Wh)</t>
        </is>
      </c>
      <c r="G2" s="2" t="inlineStr">
        <is>
          <t>I annual (gCO2e/kWh)</t>
        </is>
      </c>
      <c r="H2" s="2" t="inlineStr">
        <is>
          <t>I hourly mean (gCO2e/kWh)</t>
        </is>
      </c>
      <c r="I2" s="2" t="inlineStr">
        <is>
          <t>Operational g/run (LBM annual)</t>
        </is>
      </c>
      <c r="J2" s="2" t="inlineStr">
        <is>
          <t>Embodied M g/run</t>
        </is>
      </c>
      <c r="K2" s="2" t="inlineStr">
        <is>
          <t>Embodied share %</t>
        </is>
      </c>
      <c r="L2" s="2" t="inlineStr">
        <is>
          <t>SCI LBM annual mean</t>
        </is>
      </c>
      <c r="M2" s="2" t="inlineStr">
        <is>
          <t>SCI LBM annual SD</t>
        </is>
      </c>
      <c r="N2" s="2" t="inlineStr">
        <is>
          <t>SCI LBM hourly mean</t>
        </is>
      </c>
      <c r="O2" s="2" t="inlineStr">
        <is>
          <t>SCI MBM mean</t>
        </is>
      </c>
    </row>
    <row r="3">
      <c r="A3" t="inlineStr">
        <is>
          <t>eu-north-1</t>
        </is>
      </c>
      <c r="B3" s="3">
        <f>COUNTIF(results!$A$2:$A$51,A3)</f>
        <v/>
      </c>
      <c r="C3" t="inlineStr">
        <is>
          <t>8259CL</t>
        </is>
      </c>
      <c r="D3" s="4">
        <f>AVERAGEIF(results!$A$2:$A$51,A3,results!$H$2:$H$51)</f>
        <v/>
      </c>
      <c r="E3" s="5">
        <f>summary!F2</f>
        <v/>
      </c>
      <c r="F3" s="6">
        <f>AVERAGEIF(results!$A$2:$A$51,A3,results!$N$2:$N$51)*1000</f>
        <v/>
      </c>
      <c r="G3" s="4">
        <f>AVERAGEIF(results!$A$2:$A$51,A3,results!$O$2:$O$51)</f>
        <v/>
      </c>
      <c r="H3" s="4">
        <f>AVERAGEIF(results!$A$2:$A$51,A3,results!$P$2:$P$51)</f>
        <v/>
      </c>
      <c r="I3" s="6">
        <f>AVERAGEIF(results!$A$2:$A$51,A3,results!$R$2:$R$51)</f>
        <v/>
      </c>
      <c r="J3" s="6">
        <f>AVERAGEIF(results!$A$2:$A$51,A3,results!$T$2:$T$51)</f>
        <v/>
      </c>
      <c r="K3" s="4">
        <f>J3/(I3+J3)*100</f>
        <v/>
      </c>
      <c r="L3" s="6">
        <f>AVERAGEIF(results!$A$2:$A$51,A3,results!$U$2:$U$51)</f>
        <v/>
      </c>
      <c r="M3" s="7">
        <f>summary!K2</f>
        <v/>
      </c>
      <c r="N3" s="6">
        <f>AVERAGEIF(results!$A$2:$A$51,A3,results!$V$2:$V$51)</f>
        <v/>
      </c>
      <c r="O3" s="6">
        <f>AVERAGEIF(results!$A$2:$A$51,A3,results!$W$2:$W$51)</f>
        <v/>
      </c>
    </row>
    <row r="4">
      <c r="A4" t="inlineStr">
        <is>
          <t>us-west-2</t>
        </is>
      </c>
      <c r="B4" s="3">
        <f>COUNTIF(results!$A$2:$A$51,A4)</f>
        <v/>
      </c>
      <c r="C4" t="inlineStr">
        <is>
          <t>8175M; 8259CL</t>
        </is>
      </c>
      <c r="D4" s="4">
        <f>AVERAGEIF(results!$A$2:$A$51,A4,results!$H$2:$H$51)</f>
        <v/>
      </c>
      <c r="E4" s="5">
        <f>summary!F3</f>
        <v/>
      </c>
      <c r="F4" s="6">
        <f>AVERAGEIF(results!$A$2:$A$51,A4,results!$N$2:$N$51)*1000</f>
        <v/>
      </c>
      <c r="G4" s="4">
        <f>AVERAGEIF(results!$A$2:$A$51,A4,results!$O$2:$O$51)</f>
        <v/>
      </c>
      <c r="H4" s="4">
        <f>AVERAGEIF(results!$A$2:$A$51,A4,results!$P$2:$P$51)</f>
        <v/>
      </c>
      <c r="I4" s="6">
        <f>AVERAGEIF(results!$A$2:$A$51,A4,results!$R$2:$R$51)</f>
        <v/>
      </c>
      <c r="J4" s="6">
        <f>AVERAGEIF(results!$A$2:$A$51,A4,results!$T$2:$T$51)</f>
        <v/>
      </c>
      <c r="K4" s="4">
        <f>J4/(I4+J4)*100</f>
        <v/>
      </c>
      <c r="L4" s="6">
        <f>AVERAGEIF(results!$A$2:$A$51,A4,results!$U$2:$U$51)</f>
        <v/>
      </c>
      <c r="M4" s="7">
        <f>summary!K3</f>
        <v/>
      </c>
      <c r="N4" s="6">
        <f>AVERAGEIF(results!$A$2:$A$51,A4,results!$V$2:$V$51)</f>
        <v/>
      </c>
      <c r="O4" s="6">
        <f>AVERAGEIF(results!$A$2:$A$51,A4,results!$W$2:$W$51)</f>
        <v/>
      </c>
    </row>
    <row r="5">
      <c r="A5" t="inlineStr">
        <is>
          <t>eu-west-1</t>
        </is>
      </c>
      <c r="B5" s="3">
        <f>COUNTIF(results!$A$2:$A$51,A5)</f>
        <v/>
      </c>
      <c r="C5" t="inlineStr">
        <is>
          <t>8175M; 8259CL</t>
        </is>
      </c>
      <c r="D5" s="4">
        <f>AVERAGEIF(results!$A$2:$A$51,A5,results!$H$2:$H$51)</f>
        <v/>
      </c>
      <c r="E5" s="5">
        <f>summary!F4</f>
        <v/>
      </c>
      <c r="F5" s="6">
        <f>AVERAGEIF(results!$A$2:$A$51,A5,results!$N$2:$N$51)*1000</f>
        <v/>
      </c>
      <c r="G5" s="4">
        <f>AVERAGEIF(results!$A$2:$A$51,A5,results!$O$2:$O$51)</f>
        <v/>
      </c>
      <c r="H5" s="4">
        <f>AVERAGEIF(results!$A$2:$A$51,A5,results!$P$2:$P$51)</f>
        <v/>
      </c>
      <c r="I5" s="6">
        <f>AVERAGEIF(results!$A$2:$A$51,A5,results!$R$2:$R$51)</f>
        <v/>
      </c>
      <c r="J5" s="6">
        <f>AVERAGEIF(results!$A$2:$A$51,A5,results!$T$2:$T$51)</f>
        <v/>
      </c>
      <c r="K5" s="4">
        <f>J5/(I5+J5)*100</f>
        <v/>
      </c>
      <c r="L5" s="6">
        <f>AVERAGEIF(results!$A$2:$A$51,A5,results!$U$2:$U$51)</f>
        <v/>
      </c>
      <c r="M5" s="7">
        <f>summary!K4</f>
        <v/>
      </c>
      <c r="N5" s="6">
        <f>AVERAGEIF(results!$A$2:$A$51,A5,results!$V$2:$V$51)</f>
        <v/>
      </c>
      <c r="O5" s="6">
        <f>AVERAGEIF(results!$A$2:$A$51,A5,results!$W$2:$W$51)</f>
        <v/>
      </c>
    </row>
    <row r="6">
      <c r="A6" t="inlineStr">
        <is>
          <t>us-east-1</t>
        </is>
      </c>
      <c r="B6" s="3">
        <f>COUNTIF(results!$A$2:$A$51,A6)</f>
        <v/>
      </c>
      <c r="C6" t="inlineStr">
        <is>
          <t>8259CL</t>
        </is>
      </c>
      <c r="D6" s="4">
        <f>AVERAGEIF(results!$A$2:$A$51,A6,results!$H$2:$H$51)</f>
        <v/>
      </c>
      <c r="E6" s="5">
        <f>summary!F5</f>
        <v/>
      </c>
      <c r="F6" s="6">
        <f>AVERAGEIF(results!$A$2:$A$51,A6,results!$N$2:$N$51)*1000</f>
        <v/>
      </c>
      <c r="G6" s="4">
        <f>AVERAGEIF(results!$A$2:$A$51,A6,results!$O$2:$O$51)</f>
        <v/>
      </c>
      <c r="H6" s="4">
        <f>AVERAGEIF(results!$A$2:$A$51,A6,results!$P$2:$P$51)</f>
        <v/>
      </c>
      <c r="I6" s="6">
        <f>AVERAGEIF(results!$A$2:$A$51,A6,results!$R$2:$R$51)</f>
        <v/>
      </c>
      <c r="J6" s="6">
        <f>AVERAGEIF(results!$A$2:$A$51,A6,results!$T$2:$T$51)</f>
        <v/>
      </c>
      <c r="K6" s="4">
        <f>J6/(I6+J6)*100</f>
        <v/>
      </c>
      <c r="L6" s="6">
        <f>AVERAGEIF(results!$A$2:$A$51,A6,results!$U$2:$U$51)</f>
        <v/>
      </c>
      <c r="M6" s="7">
        <f>summary!K5</f>
        <v/>
      </c>
      <c r="N6" s="6">
        <f>AVERAGEIF(results!$A$2:$A$51,A6,results!$V$2:$V$51)</f>
        <v/>
      </c>
      <c r="O6" s="6">
        <f>AVERAGEIF(results!$A$2:$A$51,A6,results!$W$2:$W$51)</f>
        <v/>
      </c>
    </row>
    <row r="7">
      <c r="A7" t="inlineStr">
        <is>
          <t>ap-south-1</t>
        </is>
      </c>
      <c r="B7" s="3">
        <f>COUNTIF(results!$A$2:$A$51,A7)</f>
        <v/>
      </c>
      <c r="C7" t="inlineStr">
        <is>
          <t>8175M</t>
        </is>
      </c>
      <c r="D7" s="4">
        <f>AVERAGEIF(results!$A$2:$A$51,A7,results!$H$2:$H$51)</f>
        <v/>
      </c>
      <c r="E7" s="5">
        <f>summary!F6</f>
        <v/>
      </c>
      <c r="F7" s="6">
        <f>AVERAGEIF(results!$A$2:$A$51,A7,results!$N$2:$N$51)*1000</f>
        <v/>
      </c>
      <c r="G7" s="4">
        <f>AVERAGEIF(results!$A$2:$A$51,A7,results!$O$2:$O$51)</f>
        <v/>
      </c>
      <c r="H7" s="4">
        <f>AVERAGEIF(results!$A$2:$A$51,A7,results!$P$2:$P$51)</f>
        <v/>
      </c>
      <c r="I7" s="6">
        <f>AVERAGEIF(results!$A$2:$A$51,A7,results!$R$2:$R$51)</f>
        <v/>
      </c>
      <c r="J7" s="6">
        <f>AVERAGEIF(results!$A$2:$A$51,A7,results!$T$2:$T$51)</f>
        <v/>
      </c>
      <c r="K7" s="4">
        <f>J7/(I7+J7)*100</f>
        <v/>
      </c>
      <c r="L7" s="6">
        <f>AVERAGEIF(results!$A$2:$A$51,A7,results!$U$2:$U$51)</f>
        <v/>
      </c>
      <c r="M7" s="7">
        <f>summary!K6</f>
        <v/>
      </c>
      <c r="N7" s="6">
        <f>AVERAGEIF(results!$A$2:$A$51,A7,results!$V$2:$V$51)</f>
        <v/>
      </c>
      <c r="O7" s="6">
        <f>AVERAGEIF(results!$A$2:$A$51,A7,results!$W$2:$W$51)</f>
        <v/>
      </c>
    </row>
    <row r="9" ht="32" customHeight="1">
      <c r="A9" s="8" t="inlineStr">
        <is>
          <t>SCI unit: gCO2e per 10^6 sysbench events. LBM annual = location-based, annual-average grid intensity; LBM hourly = Electricity Maps hourly readings bracketing the run window (em-hourly.csv); MBM = market-based, Scope 2 = 0 (embodied only). E = Teads curve at measured CPU x PUE.</t>
        </is>
      </c>
    </row>
  </sheetData>
  <mergeCells count="1">
    <mergeCell ref="A9:O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t="inlineStr">
        <is>
          <t>Region</t>
        </is>
      </c>
      <c r="B1" t="inlineStr">
        <is>
          <t>Operational (LBM annual)</t>
        </is>
      </c>
      <c r="C1" t="inlineStr">
        <is>
          <t>Embodied (Boavizta, EL 6 y)</t>
        </is>
      </c>
    </row>
    <row r="2">
      <c r="A2" t="inlineStr">
        <is>
          <t>eu-north-1</t>
        </is>
      </c>
      <c r="B2">
        <f>AVERAGEIF(results!$A$2:$A$51,A2,results!$R$2:$R$51)</f>
        <v/>
      </c>
      <c r="C2">
        <f>AVERAGEIF(results!$A$2:$A$51,A2,results!$T$2:$T$51)</f>
        <v/>
      </c>
    </row>
    <row r="3">
      <c r="A3" t="inlineStr">
        <is>
          <t>us-west-2</t>
        </is>
      </c>
      <c r="B3">
        <f>AVERAGEIF(results!$A$2:$A$51,A3,results!$R$2:$R$51)</f>
        <v/>
      </c>
      <c r="C3">
        <f>AVERAGEIF(results!$A$2:$A$51,A3,results!$T$2:$T$51)</f>
        <v/>
      </c>
    </row>
    <row r="4">
      <c r="A4" t="inlineStr">
        <is>
          <t>eu-west-1</t>
        </is>
      </c>
      <c r="B4">
        <f>AVERAGEIF(results!$A$2:$A$51,A4,results!$R$2:$R$51)</f>
        <v/>
      </c>
      <c r="C4">
        <f>AVERAGEIF(results!$A$2:$A$51,A4,results!$T$2:$T$51)</f>
        <v/>
      </c>
    </row>
    <row r="5">
      <c r="A5" t="inlineStr">
        <is>
          <t>us-east-1</t>
        </is>
      </c>
      <c r="B5">
        <f>AVERAGEIF(results!$A$2:$A$51,A5,results!$R$2:$R$51)</f>
        <v/>
      </c>
      <c r="C5">
        <f>AVERAGEIF(results!$A$2:$A$51,A5,results!$T$2:$T$51)</f>
        <v/>
      </c>
    </row>
    <row r="6">
      <c r="A6" t="inlineStr">
        <is>
          <t>ap-south-1</t>
        </is>
      </c>
      <c r="B6">
        <f>AVERAGEIF(results!$A$2:$A$51,A6,results!$R$2:$R$51)</f>
        <v/>
      </c>
      <c r="C6">
        <f>AVERAGEIF(results!$A$2:$A$51,A6,results!$T$2:$T$51)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ap-south-1</t>
        </is>
      </c>
    </row>
    <row r="2">
      <c r="A2" t="inlineStr">
        <is>
          <t>mean E/R (kWh per 1e6 ev)</t>
        </is>
      </c>
      <c r="B2">
        <f>AVERAGEIF(results!$A$2:$A$51,"ap-south-1",results!$Y$2:$Y$51)</f>
        <v/>
      </c>
    </row>
    <row r="3">
      <c r="A3" t="inlineStr">
        <is>
          <t>mean 1/R</t>
        </is>
      </c>
      <c r="B3">
        <f>AVERAGEIF(results!$A$2:$A$51,"ap-south-1",results!$Z$2:$Z$51)</f>
        <v/>
      </c>
    </row>
    <row r="4">
      <c r="A4" t="inlineStr">
        <is>
          <t>mean E_ccf/R</t>
        </is>
      </c>
      <c r="B4">
        <f>AVERAGEIF(results!$A$2:$A$51,"ap-south-1",results!$AB$2:$AB$51)</f>
        <v/>
      </c>
    </row>
    <row r="5">
      <c r="A5" t="inlineStr">
        <is>
          <t>M (g, EL 6 y)</t>
        </is>
      </c>
      <c r="B5">
        <f>AVERAGEIF(results!$A$2:$A$51,"ap-south-1",results!$T$2:$T$51)</f>
        <v/>
      </c>
    </row>
    <row r="6">
      <c r="A6" t="inlineStr">
        <is>
          <t>Baseline SCI</t>
        </is>
      </c>
      <c r="B6">
        <f>params!$C$13*B2+B5*B3</f>
        <v/>
      </c>
    </row>
    <row r="7">
      <c r="A7" t="inlineStr">
        <is>
          <t>check vs Table 3</t>
        </is>
      </c>
      <c r="B7">
        <f>AVERAGEIF(results!$A$2:$A$51,"ap-south-1",results!$U$2:$U$51)</f>
        <v/>
      </c>
    </row>
    <row r="9">
      <c r="A9" s="1" t="inlineStr">
        <is>
          <t>Parameter</t>
        </is>
      </c>
      <c r="B9" s="1" t="inlineStr">
        <is>
          <t>Variant A</t>
        </is>
      </c>
      <c r="C9" s="1" t="inlineStr">
        <is>
          <t>Variant B</t>
        </is>
      </c>
      <c r="D9" s="1" t="inlineStr">
        <is>
          <t>SCI A</t>
        </is>
      </c>
      <c r="E9" s="1" t="inlineStr">
        <is>
          <t>SCI B</t>
        </is>
      </c>
      <c r="F9" s="1" t="inlineStr">
        <is>
          <t>Lowers SCI</t>
        </is>
      </c>
      <c r="G9" s="1" t="inlineStr">
        <is>
          <t>Raises SCI</t>
        </is>
      </c>
      <c r="H9" s="1" t="inlineStr">
        <is>
          <t>swing</t>
        </is>
      </c>
    </row>
    <row r="10">
      <c r="A10" t="inlineStr">
        <is>
          <t>EL: 6 → 4 y</t>
        </is>
      </c>
      <c r="B10" t="inlineStr">
        <is>
          <t>6 y (base)</t>
        </is>
      </c>
      <c r="C10" t="inlineStr">
        <is>
          <t>4 y</t>
        </is>
      </c>
      <c r="D10">
        <f>$B$6</f>
        <v/>
      </c>
      <c r="E10">
        <f>params!$C$13*$B$2+$B$5*params!$B$4/params!$B$5*$B$3</f>
        <v/>
      </c>
      <c r="F10">
        <f>MIN(D10,E10)-$B$6</f>
        <v/>
      </c>
      <c r="G10">
        <f>MAX(D10,E10)-$B$6</f>
        <v/>
      </c>
      <c r="H10">
        <f>G10-F10</f>
        <v/>
      </c>
    </row>
    <row r="11">
      <c r="A11" t="inlineStr">
        <is>
          <t>I: 598 → 671</t>
        </is>
      </c>
      <c r="B11" t="inlineStr">
        <is>
          <t>primary (base)</t>
        </is>
      </c>
      <c r="C11" t="inlineStr">
        <is>
          <t>secondary</t>
        </is>
      </c>
      <c r="D11">
        <f>$B$6</f>
        <v/>
      </c>
      <c r="E11">
        <f>params!$D$13*$B$2+$B$5*$B$3</f>
        <v/>
      </c>
      <c r="F11">
        <f>MIN(D11,E11)-$B$6</f>
        <v/>
      </c>
      <c r="G11">
        <f>MAX(D11,E11)-$B$6</f>
        <v/>
      </c>
      <c r="H11">
        <f>G11-F11</f>
        <v/>
      </c>
    </row>
    <row r="12">
      <c r="A12" t="inlineStr">
        <is>
          <t>PUE 1.28 ± 0.1</t>
        </is>
      </c>
      <c r="B12" t="inlineStr">
        <is>
          <t>PUE 1.18</t>
        </is>
      </c>
      <c r="C12" t="inlineStr">
        <is>
          <t>PUE 1.38</t>
        </is>
      </c>
      <c r="D12">
        <f>(params!$B$13-params!$B$6)/params!$B$13*params!$C$13*$B$2+$B$5*$B$3</f>
        <v/>
      </c>
      <c r="E12">
        <f>(params!$B$13+params!$B$6)/params!$B$13*params!$C$13*$B$2+$B$5*$B$3</f>
        <v/>
      </c>
      <c r="F12">
        <f>MIN(D12,E12)-$B$6</f>
        <v/>
      </c>
      <c r="G12">
        <f>MAX(D12,E12)-$B$6</f>
        <v/>
      </c>
      <c r="H12">
        <f>G12-F12</f>
        <v/>
      </c>
    </row>
    <row r="13">
      <c r="A13" t="inlineStr">
        <is>
          <t>P: Teads → CCF</t>
        </is>
      </c>
      <c r="B13" t="inlineStr">
        <is>
          <t>Teads (base)</t>
        </is>
      </c>
      <c r="C13" t="inlineStr">
        <is>
          <t>CCF 2026</t>
        </is>
      </c>
      <c r="D13">
        <f>$B$6</f>
        <v/>
      </c>
      <c r="E13">
        <f>params!$C$13*$B$4+$B$5*$B$3</f>
        <v/>
      </c>
      <c r="F13">
        <f>MIN(D13,E13)-$B$6</f>
        <v/>
      </c>
      <c r="G13">
        <f>MAX(D13,E13)-$B$6</f>
        <v/>
      </c>
      <c r="H13">
        <f>G13-F13</f>
        <v/>
      </c>
    </row>
    <row r="16">
      <c r="A16" s="1" t="inlineStr">
        <is>
          <t>eu-north-1</t>
        </is>
      </c>
    </row>
    <row r="17">
      <c r="A17" t="inlineStr">
        <is>
          <t>mean E/R (kWh per 1e6 ev)</t>
        </is>
      </c>
      <c r="B17">
        <f>AVERAGEIF(results!$A$2:$A$51,"eu-north-1",results!$Y$2:$Y$51)</f>
        <v/>
      </c>
    </row>
    <row r="18">
      <c r="A18" t="inlineStr">
        <is>
          <t>mean 1/R</t>
        </is>
      </c>
      <c r="B18">
        <f>AVERAGEIF(results!$A$2:$A$51,"eu-north-1",results!$Z$2:$Z$51)</f>
        <v/>
      </c>
    </row>
    <row r="19">
      <c r="A19" t="inlineStr">
        <is>
          <t>mean E_ccf/R</t>
        </is>
      </c>
      <c r="B19">
        <f>AVERAGEIF(results!$A$2:$A$51,"eu-north-1",results!$AB$2:$AB$51)</f>
        <v/>
      </c>
    </row>
    <row r="20">
      <c r="A20" t="inlineStr">
        <is>
          <t>M (g, EL 6 y)</t>
        </is>
      </c>
      <c r="B20">
        <f>AVERAGEIF(results!$A$2:$A$51,"eu-north-1",results!$T$2:$T$51)</f>
        <v/>
      </c>
    </row>
    <row r="21">
      <c r="A21" t="inlineStr">
        <is>
          <t>Baseline SCI</t>
        </is>
      </c>
      <c r="B21">
        <f>params!$C$9*B17+B20*B18</f>
        <v/>
      </c>
    </row>
    <row r="22">
      <c r="A22" t="inlineStr">
        <is>
          <t>check vs Table 3</t>
        </is>
      </c>
      <c r="B22">
        <f>AVERAGEIF(results!$A$2:$A$51,"eu-north-1",results!$U$2:$U$51)</f>
        <v/>
      </c>
    </row>
    <row r="24">
      <c r="A24" s="1" t="inlineStr">
        <is>
          <t>Parameter</t>
        </is>
      </c>
      <c r="B24" s="1" t="inlineStr">
        <is>
          <t>Variant A</t>
        </is>
      </c>
      <c r="C24" s="1" t="inlineStr">
        <is>
          <t>Variant B</t>
        </is>
      </c>
      <c r="D24" s="1" t="inlineStr">
        <is>
          <t>SCI A</t>
        </is>
      </c>
      <c r="E24" s="1" t="inlineStr">
        <is>
          <t>SCI B</t>
        </is>
      </c>
      <c r="F24" s="1" t="inlineStr">
        <is>
          <t>Lowers SCI</t>
        </is>
      </c>
      <c r="G24" s="1" t="inlineStr">
        <is>
          <t>Raises SCI</t>
        </is>
      </c>
      <c r="H24" s="1" t="inlineStr">
        <is>
          <t>swing</t>
        </is>
      </c>
    </row>
    <row r="25">
      <c r="A25" t="inlineStr">
        <is>
          <t>I: 21.3 → 19</t>
        </is>
      </c>
      <c r="B25" t="inlineStr">
        <is>
          <t>primary (base)</t>
        </is>
      </c>
      <c r="C25" t="inlineStr">
        <is>
          <t>secondary</t>
        </is>
      </c>
      <c r="D25">
        <f>$B$21</f>
        <v/>
      </c>
      <c r="E25">
        <f>params!$D$9*$B$17+$B$20*$B$18</f>
        <v/>
      </c>
      <c r="F25">
        <f>MIN(D25,E25)-$B$21</f>
        <v/>
      </c>
      <c r="G25">
        <f>MAX(D25,E25)-$B$21</f>
        <v/>
      </c>
      <c r="H25">
        <f>G25-F25</f>
        <v/>
      </c>
    </row>
    <row r="26">
      <c r="A26" t="inlineStr">
        <is>
          <t>PUE 1.12 ± 0.1</t>
        </is>
      </c>
      <c r="B26" t="inlineStr">
        <is>
          <t>PUE 1.02</t>
        </is>
      </c>
      <c r="C26" t="inlineStr">
        <is>
          <t>PUE 1.22</t>
        </is>
      </c>
      <c r="D26">
        <f>(params!$B$9-params!$B$6)/params!$B$9*params!$C$9*$B$17+$B$20*$B$18</f>
        <v/>
      </c>
      <c r="E26">
        <f>(params!$B$9+params!$B$6)/params!$B$9*params!$C$9*$B$17+$B$20*$B$18</f>
        <v/>
      </c>
      <c r="F26">
        <f>MIN(D26,E26)-$B$21</f>
        <v/>
      </c>
      <c r="G26">
        <f>MAX(D26,E26)-$B$21</f>
        <v/>
      </c>
      <c r="H26">
        <f>G26-F26</f>
        <v/>
      </c>
    </row>
    <row r="27">
      <c r="A27" t="inlineStr">
        <is>
          <t>EL: 6 → 4 y</t>
        </is>
      </c>
      <c r="B27" t="inlineStr">
        <is>
          <t>6 y (base)</t>
        </is>
      </c>
      <c r="C27" t="inlineStr">
        <is>
          <t>4 y</t>
        </is>
      </c>
      <c r="D27">
        <f>$B$21</f>
        <v/>
      </c>
      <c r="E27">
        <f>params!$C$9*$B$17+$B$20*params!$B$4/params!$B$5*$B$18</f>
        <v/>
      </c>
      <c r="F27">
        <f>MIN(D27,E27)-$B$21</f>
        <v/>
      </c>
      <c r="G27">
        <f>MAX(D27,E27)-$B$21</f>
        <v/>
      </c>
      <c r="H27">
        <f>G27-F27</f>
        <v/>
      </c>
    </row>
    <row r="28">
      <c r="A28" t="inlineStr">
        <is>
          <t>P: Teads → CCF</t>
        </is>
      </c>
      <c r="B28" t="inlineStr">
        <is>
          <t>Teads (base)</t>
        </is>
      </c>
      <c r="C28" t="inlineStr">
        <is>
          <t>CCF 2026</t>
        </is>
      </c>
      <c r="D28">
        <f>$B$21</f>
        <v/>
      </c>
      <c r="E28">
        <f>params!$C$9*$B$19+$B$20*$B$18</f>
        <v/>
      </c>
      <c r="F28">
        <f>MIN(D28,E28)-$B$21</f>
        <v/>
      </c>
      <c r="G28">
        <f>MAX(D28,E28)-$B$21</f>
        <v/>
      </c>
      <c r="H28">
        <f>G28-F28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2026-10-12T09:04:19Z</dcterms:created>
  <dcterms:modified xsi:type="dcterms:W3CDTF">2026-10-12T09:04:19Z</dcterms:modified>
</cp:coreProperties>
</file>